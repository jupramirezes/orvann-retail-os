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Inventario" sheetId="2" r:id="rId5"/>
    <sheet state="visible" name="Caja Diaria" sheetId="3" r:id="rId6"/>
    <sheet state="visible" name="Ventas" sheetId="4" r:id="rId7"/>
    <sheet state="visible" name="Costos Fijos" sheetId="5" r:id="rId8"/>
    <sheet state="visible" name="Gastos" sheetId="6" r:id="rId9"/>
    <sheet state="visible" name="Pedidos Proveedores" sheetId="7" r:id="rId10"/>
    <sheet state="hidden" name="Análisis Precios" sheetId="8" r:id="rId11"/>
    <sheet state="visible" name="Cotizador Compras" sheetId="9" r:id="rId12"/>
    <sheet state="visible" name="Punto Equilibrio - Proyeccion" sheetId="10" r:id="rId13"/>
  </sheets>
  <definedNames>
    <definedName hidden="1" localSheetId="5" name="_xlnm._FilterDatabase">Gastos!$A$1:$AC$56</definedName>
  </definedNames>
  <calcPr/>
  <extLst>
    <ext uri="GoogleSheetsCustomDataVersion2">
      <go:sheetsCustomData xmlns:go="http://customooxmlschemas.google.com/" r:id="rId14" roundtripDataChecksum="xP8qpzHiG7IoidtZdRKJ4cmKWZPmGabdHg1IP/riflk="/>
    </ext>
  </extLst>
</workbook>
</file>

<file path=xl/sharedStrings.xml><?xml version="1.0" encoding="utf-8"?>
<sst xmlns="http://schemas.openxmlformats.org/spreadsheetml/2006/main" count="1758" uniqueCount="723">
  <si>
    <t>CONTROL OPERATIVO ORVANN</t>
  </si>
  <si>
    <t>Recordatorios</t>
  </si>
  <si>
    <t>Pendientes</t>
  </si>
  <si>
    <t>Última actualización</t>
  </si>
  <si>
    <t>Cuenta BC (empresarial o la de Julieta) - Celular y whatsapp para historias (Grupo de difusión)</t>
  </si>
  <si>
    <t>ITEM</t>
  </si>
  <si>
    <t>Valor</t>
  </si>
  <si>
    <t>NOTAS</t>
  </si>
  <si>
    <t>Mercado Pago y que más necesitamos para funcionar como pyme</t>
  </si>
  <si>
    <t>Tubo perchero</t>
  </si>
  <si>
    <t>RESUMEN FINANCIERO</t>
  </si>
  <si>
    <t>Agregar proyección al por mayor y packs (Como se vende asi y como conversa con gran diferencia de precio)</t>
  </si>
  <si>
    <t>Ganchos</t>
  </si>
  <si>
    <t>Inventario a costo:</t>
  </si>
  <si>
    <t>Proyección más clara de punto de equilibrio</t>
  </si>
  <si>
    <t>Espejo cuerpo completo</t>
  </si>
  <si>
    <t>Inventario a precio venta:</t>
  </si>
  <si>
    <t>Como funciona shopify</t>
  </si>
  <si>
    <t>Estantería</t>
  </si>
  <si>
    <t>Viene en obra ?</t>
  </si>
  <si>
    <t>Ventas del mes:</t>
  </si>
  <si>
    <t>Automatizaciones de: Atención al cliente, pedidos, inventario, contabilidad y logística (Cómo la vamos a hacer)</t>
  </si>
  <si>
    <t>Sillas</t>
  </si>
  <si>
    <t>Gastos del mes:</t>
  </si>
  <si>
    <t>Enviar instagram a gente y compartir</t>
  </si>
  <si>
    <t>Luces LED</t>
  </si>
  <si>
    <t>Cuentas por pagar:</t>
  </si>
  <si>
    <t>Que es pixel y como se usa el inventario digital de meta (Inst y Facebook)</t>
  </si>
  <si>
    <t>Lamparas ?</t>
  </si>
  <si>
    <t>Utilidad bruta mes:</t>
  </si>
  <si>
    <t>Tema de tener solo uan persona trabajando (Inseguridad)</t>
  </si>
  <si>
    <t>Cámara seguridad</t>
  </si>
  <si>
    <t>Quiero tener algo más dinámico de modelo financiero</t>
  </si>
  <si>
    <t>Alarma</t>
  </si>
  <si>
    <t>Cerrar cuentas pendientes</t>
  </si>
  <si>
    <t>Candados</t>
  </si>
  <si>
    <t>ALERTAS</t>
  </si>
  <si>
    <t>Registradora</t>
  </si>
  <si>
    <t>Productos con stock bajo (&lt;3):</t>
  </si>
  <si>
    <t>Datafono</t>
  </si>
  <si>
    <t>Pedidos pendientes de pago:</t>
  </si>
  <si>
    <t>Celular</t>
  </si>
  <si>
    <t>Bafle / Parlante</t>
  </si>
  <si>
    <t>Router</t>
  </si>
  <si>
    <t>INDICADORES CLAVE DE DESEMPEÑO</t>
  </si>
  <si>
    <t>Ventilador</t>
  </si>
  <si>
    <t>Otras referencias (Conocidas pero de nicho)</t>
  </si>
  <si>
    <t>Kit aseo</t>
  </si>
  <si>
    <t>Ticket promedio:</t>
  </si>
  <si>
    <t>Pulp Fiction (1994)</t>
  </si>
  <si>
    <t>Tapetes ?</t>
  </si>
  <si>
    <t>Prendas vendidas (mes):</t>
  </si>
  <si>
    <t>Pedro navaja</t>
  </si>
  <si>
    <t>Toldo</t>
  </si>
  <si>
    <t>Margen bruto %:</t>
  </si>
  <si>
    <t>Léon: The Professional</t>
  </si>
  <si>
    <t>Rotación inventario:</t>
  </si>
  <si>
    <t>Mide cuántas veces se vende y se reemplaza el inventario en un período de un mes (al no haber ventas, es cero).</t>
  </si>
  <si>
    <t>Ciudad de Dios</t>
  </si>
  <si>
    <t>Basura</t>
  </si>
  <si>
    <t>Días de inventario:</t>
  </si>
  <si>
    <t>Mide cuántos días tomaría vender el inventario actual (al no haber ventas, es cero).</t>
  </si>
  <si>
    <t>Charles Bukowski (Literatura Cruda)</t>
  </si>
  <si>
    <t>Letrero exterior</t>
  </si>
  <si>
    <t>Héctor Lavoe. Estilo "Vinyl Cover"</t>
  </si>
  <si>
    <t>Decoración (Cuadros, etc)</t>
  </si>
  <si>
    <t>Gabo y Cien Años de Soledad</t>
  </si>
  <si>
    <t>Plantas</t>
  </si>
  <si>
    <t>PUNTO DE EQUILIBRIO</t>
  </si>
  <si>
    <t xml:space="preserve">Blade Runner (1982). </t>
  </si>
  <si>
    <t>Señalización ?</t>
  </si>
  <si>
    <t>Costos fijos mensuales:</t>
  </si>
  <si>
    <t>Mercedes Sosa y LA FANIA. Volver a los 17</t>
  </si>
  <si>
    <t>Extintor</t>
  </si>
  <si>
    <t>Margen promedio por prenda:</t>
  </si>
  <si>
    <t>Taxi Driver</t>
  </si>
  <si>
    <t>Decoración y extras</t>
  </si>
  <si>
    <t>Precio promedio venta:</t>
  </si>
  <si>
    <t>Fight Club</t>
  </si>
  <si>
    <t>Prendas/mes para equilibrio:</t>
  </si>
  <si>
    <t>Scarface</t>
  </si>
  <si>
    <t>TOTAL</t>
  </si>
  <si>
    <t>Prendas/día para equilibrio:</t>
  </si>
  <si>
    <t>Vendedora de Rosas</t>
  </si>
  <si>
    <t>Notorius BIG</t>
  </si>
  <si>
    <t>Celia Cruz</t>
  </si>
  <si>
    <t>Total deudas</t>
  </si>
  <si>
    <t>Mike Tyson</t>
  </si>
  <si>
    <t>Total aportes socios</t>
  </si>
  <si>
    <t>Principe de Bel Air</t>
  </si>
  <si>
    <t>Jackass</t>
  </si>
  <si>
    <t>HORARIOS</t>
  </si>
  <si>
    <t>Friends</t>
  </si>
  <si>
    <t>Encargado</t>
  </si>
  <si>
    <t>Horas Semanales</t>
  </si>
  <si>
    <t>Días</t>
  </si>
  <si>
    <t>MTV</t>
  </si>
  <si>
    <t>JP</t>
  </si>
  <si>
    <t>L-V 2:30 a 7pm</t>
  </si>
  <si>
    <t>Play Station 1</t>
  </si>
  <si>
    <t>Kathe</t>
  </si>
  <si>
    <t>L-V 10:00 a 2:30pm</t>
  </si>
  <si>
    <t>BackStreet Boys</t>
  </si>
  <si>
    <t>Andrés</t>
  </si>
  <si>
    <t>S y D 10:00 a 7:00pm</t>
  </si>
  <si>
    <t>Punk</t>
  </si>
  <si>
    <t>Eminem</t>
  </si>
  <si>
    <t>Tupac y BIG</t>
  </si>
  <si>
    <t>Cerati y Rock Español (Soda, cadillacs,caifanes)</t>
  </si>
  <si>
    <t>Mi pobre angelito</t>
  </si>
  <si>
    <t>manos de tijera</t>
  </si>
  <si>
    <t>Titanic</t>
  </si>
  <si>
    <t>Sexto sentido</t>
  </si>
  <si>
    <t>Marc Anthony</t>
  </si>
  <si>
    <t>Grupo niche</t>
  </si>
  <si>
    <t>Gran combo de las estrellas</t>
  </si>
  <si>
    <t>Rocky</t>
  </si>
  <si>
    <t>Canserbero (Raperos canon)</t>
  </si>
  <si>
    <t>Thalia</t>
  </si>
  <si>
    <t>Vicente Fernandez</t>
  </si>
  <si>
    <t>El principito</t>
  </si>
  <si>
    <t>La mascara y Show de truman (Jim Carrey)</t>
  </si>
  <si>
    <t>El silencio de los inocentes</t>
  </si>
  <si>
    <t>LA BRUJA DE BLAIR</t>
  </si>
  <si>
    <t>El rey Leon (Disney clásico)</t>
  </si>
  <si>
    <t>Tarzan</t>
  </si>
  <si>
    <t>Los Simpsons (Sátiras)</t>
  </si>
  <si>
    <t>Kenan y Kel</t>
  </si>
  <si>
    <t>Picapiedras</t>
  </si>
  <si>
    <t>GameBoy, Nintendo, videojuegos clasicos (tetris, 64)</t>
  </si>
  <si>
    <t>Cmaras analogicas</t>
  </si>
  <si>
    <t>Coca Cola</t>
  </si>
  <si>
    <t>Piel Roja, Marlboro</t>
  </si>
  <si>
    <t>Mario Bros</t>
  </si>
  <si>
    <t>Bad Boys de Detroit (NBA retro, rodman, kobe, )</t>
  </si>
  <si>
    <t>Juan Luis Guerra</t>
  </si>
  <si>
    <t>La FANIA all stars</t>
  </si>
  <si>
    <t>Blockbuster</t>
  </si>
  <si>
    <t>E.T</t>
  </si>
  <si>
    <t>Carl Sagan</t>
  </si>
  <si>
    <t>Einstein</t>
  </si>
  <si>
    <t>Attack on Titan</t>
  </si>
  <si>
    <t>Death Note</t>
  </si>
  <si>
    <t>Regreso al futuro</t>
  </si>
  <si>
    <t>Futurama</t>
  </si>
  <si>
    <t>SEGA (Juegos Arcade)</t>
  </si>
  <si>
    <t>Diego Maradona</t>
  </si>
  <si>
    <t>Cabesazo de Zinedine Zidane</t>
  </si>
  <si>
    <t>Cartoon Network, Nickelodeon</t>
  </si>
  <si>
    <t>Cibercafés</t>
  </si>
  <si>
    <t>Marcas iconicas vintage</t>
  </si>
  <si>
    <t>Woodstock</t>
  </si>
  <si>
    <t>Los Soprano</t>
  </si>
  <si>
    <t>María Sabina</t>
  </si>
  <si>
    <t>Snoop dog</t>
  </si>
  <si>
    <t>Valentino Rossi</t>
  </si>
  <si>
    <t>Walkman</t>
  </si>
  <si>
    <t>La Pantera rosa</t>
  </si>
  <si>
    <t>Atari - Pacman</t>
  </si>
  <si>
    <t>Matrix</t>
  </si>
  <si>
    <t>Heat (1995)</t>
  </si>
  <si>
    <t>Terminator (Futurista retro)</t>
  </si>
  <si>
    <t>Bob Marley</t>
  </si>
  <si>
    <t>Queen</t>
  </si>
  <si>
    <t>Willie Colon</t>
  </si>
  <si>
    <t>Oscar D´Leon</t>
  </si>
  <si>
    <t>Joe Arroyo (Colombia)</t>
  </si>
  <si>
    <t>Violeta Parra</t>
  </si>
  <si>
    <t>Ronaldinho Joven</t>
  </si>
  <si>
    <t>Ayrton Senna</t>
  </si>
  <si>
    <t>South Park</t>
  </si>
  <si>
    <t>Street Fighter</t>
  </si>
  <si>
    <t>Mortal Combat</t>
  </si>
  <si>
    <t>Los Supersónicos</t>
  </si>
  <si>
    <t>Wittgentein</t>
  </si>
  <si>
    <t>Hemingway</t>
  </si>
  <si>
    <t>Dali</t>
  </si>
  <si>
    <t>Frida Kahlo</t>
  </si>
  <si>
    <t>Basquiat</t>
  </si>
  <si>
    <t>Andy Warhol</t>
  </si>
  <si>
    <t>INVENTARIO</t>
  </si>
  <si>
    <t>Total Stock:</t>
  </si>
  <si>
    <t>Valor Costo:</t>
  </si>
  <si>
    <t>Valor Venta:</t>
  </si>
  <si>
    <t>SKU</t>
  </si>
  <si>
    <t>Producto</t>
  </si>
  <si>
    <t>Costo</t>
  </si>
  <si>
    <t>Precio Venta</t>
  </si>
  <si>
    <t>Margen %</t>
  </si>
  <si>
    <t>Entradas</t>
  </si>
  <si>
    <t>Stock Actual</t>
  </si>
  <si>
    <t>Notas</t>
  </si>
  <si>
    <t>CAM-OVS-NEG-S</t>
  </si>
  <si>
    <t>Camisa Oversize Peruana S Negro</t>
  </si>
  <si>
    <t>BASICO</t>
  </si>
  <si>
    <t>CAM-OVS-NEG-M</t>
  </si>
  <si>
    <t>Camisa Oversize Peruana M Negro</t>
  </si>
  <si>
    <t>CAM-OVS-NEG-L</t>
  </si>
  <si>
    <t>Camisa Oversize Peruana L Negro</t>
  </si>
  <si>
    <t>CAM-OVS-NEG-XL</t>
  </si>
  <si>
    <t>Camisa Oversize Peruana XL Negro</t>
  </si>
  <si>
    <t>CAM-OVS-BLA-S</t>
  </si>
  <si>
    <t>Camisa Oversize Peruana S Blanco</t>
  </si>
  <si>
    <t>CAM-OVS-BLA-M</t>
  </si>
  <si>
    <t>Camisa Oversize Peruana M Blanco</t>
  </si>
  <si>
    <t>CAM-OVS-BLA-L</t>
  </si>
  <si>
    <t>Camisa Oversize Peruana L Blanco</t>
  </si>
  <si>
    <t>CAM-OVS-BLA-XL</t>
  </si>
  <si>
    <t>Camisa Oversize Peruana XL Blanco</t>
  </si>
  <si>
    <t>CAM-OVS-PER-S</t>
  </si>
  <si>
    <t>Camisa Oversize Peruana S Perla</t>
  </si>
  <si>
    <t>CAM-OVS-PER-M</t>
  </si>
  <si>
    <t>Camisa Oversize Peruana M Perla</t>
  </si>
  <si>
    <t>CAM-OVS-PER-L</t>
  </si>
  <si>
    <t>Camisa Oversize Peruana L Perla</t>
  </si>
  <si>
    <t>CAM-OVS-PER-XL</t>
  </si>
  <si>
    <t>Camisa Oversize Peruana XL Perla</t>
  </si>
  <si>
    <t>CAM-OVS-BEIG-S</t>
  </si>
  <si>
    <t>Camisa Oversize Peruana S Beige</t>
  </si>
  <si>
    <t>CAM-OVS-BEIG-M</t>
  </si>
  <si>
    <t>Camisa Oversize Peruana M Beige</t>
  </si>
  <si>
    <t>CAM-OVS-BEIG-L</t>
  </si>
  <si>
    <t>Camisa Oversize Peruana L Beige</t>
  </si>
  <si>
    <t>CAM-OVS-BEIG-XL</t>
  </si>
  <si>
    <t>Camisa Oversize Peruana XL Beige</t>
  </si>
  <si>
    <t>CAM-OVS-PLOM-S</t>
  </si>
  <si>
    <t>Camisa Oversize Peruana S Plomo Plata</t>
  </si>
  <si>
    <t>CAM-OVS-PLOM-M</t>
  </si>
  <si>
    <t>Camisa Oversize Peruana M Plomo Plata</t>
  </si>
  <si>
    <t>CAM-OVS-PLOM-L</t>
  </si>
  <si>
    <t>Camisa Oversize Peruana L Plomo Plata</t>
  </si>
  <si>
    <t>CAM-OVS-PLOM-XL</t>
  </si>
  <si>
    <t>Camisa Oversize Peruana XL Plomo Plata</t>
  </si>
  <si>
    <t>CAM-OVS-VERD-S</t>
  </si>
  <si>
    <t>Camisa Oversize Peruana S Verde Botella</t>
  </si>
  <si>
    <t>CAM-OVS-VERD-M</t>
  </si>
  <si>
    <t>Camisa Oversize Peruana M Verde Botella</t>
  </si>
  <si>
    <t>CAM-OVS-VERD-L</t>
  </si>
  <si>
    <t>Camisa Oversize Peruana L Verde Botella</t>
  </si>
  <si>
    <t>CAM-OVS-VERD-XL</t>
  </si>
  <si>
    <t>Camisa Oversize Peruana XL Verde Botella</t>
  </si>
  <si>
    <t>CAM-BOX-NEG-S</t>
  </si>
  <si>
    <t>Camisa Boxy fit S Negro</t>
  </si>
  <si>
    <t>CAM-BOX-NEG-M</t>
  </si>
  <si>
    <t>Camisa Boxy fit M Negro</t>
  </si>
  <si>
    <t>CAM-BOX-NEG-L</t>
  </si>
  <si>
    <t>Camisa Boxy fit L Negro</t>
  </si>
  <si>
    <t>CAM-BOX-BLA-S</t>
  </si>
  <si>
    <t>Camisa Boxy fit S Blanco</t>
  </si>
  <si>
    <t>CAM-BOX-BLA-M</t>
  </si>
  <si>
    <t>Camisa Boxy fit M Blanco</t>
  </si>
  <si>
    <t>CAM-BOX-BLA-L</t>
  </si>
  <si>
    <t>Camisa Boxy fit L Blanco</t>
  </si>
  <si>
    <t>CAM-BOX-PLOM-S</t>
  </si>
  <si>
    <t>Camisa Boxy fit S Plomo Plata</t>
  </si>
  <si>
    <t>CAM-BOX-PLOM-M</t>
  </si>
  <si>
    <t>Camisa Boxy fit M Plomo Plata</t>
  </si>
  <si>
    <t>CAM-BOX-PLOM-L</t>
  </si>
  <si>
    <t>Camisa Boxy fit L Plomo Plata</t>
  </si>
  <si>
    <t>HOOD-ACID-L</t>
  </si>
  <si>
    <t>Hoodie L Acid Wash Gris</t>
  </si>
  <si>
    <t>CHOM-NEG-S</t>
  </si>
  <si>
    <t>Chompa Capucha S Negro</t>
  </si>
  <si>
    <t>CHOM-NEG-M</t>
  </si>
  <si>
    <t>Chompa Capucha M Negro</t>
  </si>
  <si>
    <t>CHOM-NEG-L</t>
  </si>
  <si>
    <t>Chompa Capucha L Negro</t>
  </si>
  <si>
    <t>CHOM-PER-S</t>
  </si>
  <si>
    <t>Chompa Capucha S Perla</t>
  </si>
  <si>
    <t>CHOM-PER-M</t>
  </si>
  <si>
    <t>Chompa Capucha M Perla</t>
  </si>
  <si>
    <t>CHOM-PER-L</t>
  </si>
  <si>
    <t>Chompa Capucha L Perla</t>
  </si>
  <si>
    <t>CHOM-VERD-S</t>
  </si>
  <si>
    <t>Chompa Capucha S Verde Botella</t>
  </si>
  <si>
    <t>CHOM-VERD-M</t>
  </si>
  <si>
    <t>Chompa Capucha M Verde Botella</t>
  </si>
  <si>
    <t>CHOM-VERD-L</t>
  </si>
  <si>
    <t>Chompa Capucha L Verde Botella</t>
  </si>
  <si>
    <t>CHOM-PLOM-S</t>
  </si>
  <si>
    <t>Chompa Capucha S Plomo Plata</t>
  </si>
  <si>
    <t>CHOM-PLOM-M</t>
  </si>
  <si>
    <t>Chompa Capucha M Plomo Plata</t>
  </si>
  <si>
    <t>CHOM-PLOM-L</t>
  </si>
  <si>
    <t>Chompa Capucha L Plomo Plata</t>
  </si>
  <si>
    <t>BUZ-OVS-NEG-M</t>
  </si>
  <si>
    <t>Buzo Cuello Redondo Oversized M Negro</t>
  </si>
  <si>
    <t>BUZ-OVS-NEG-L</t>
  </si>
  <si>
    <t>Buzo Cuello Redondo Oversized L Negro</t>
  </si>
  <si>
    <t>BUZ-OVS-NEG-XL</t>
  </si>
  <si>
    <t>Buzo Cuello Redondo Oversized XL Negro</t>
  </si>
  <si>
    <t>BUZ-OVS-BEIG-M</t>
  </si>
  <si>
    <t>Buzo Cuello Redondo Oversized M Beige</t>
  </si>
  <si>
    <t>BUZ-OVS-BEIG-L</t>
  </si>
  <si>
    <t>Buzo Cuello Redondo Oversized L Beige</t>
  </si>
  <si>
    <t>BUZ-OVS-BEIG-XL</t>
  </si>
  <si>
    <t>Buzo Cuello Redondo Oversized XL Beige</t>
  </si>
  <si>
    <t>BUZ-OVS-NEG-2XL</t>
  </si>
  <si>
    <t>Buzo Cuello Redondo Oversized 2XL Negro</t>
  </si>
  <si>
    <t>BUZ-OVS-BEIG-2XL</t>
  </si>
  <si>
    <t>Buzo Cuello Redondo Oversized 2XL Beige</t>
  </si>
  <si>
    <t>BUZ-OVS-CAF-L</t>
  </si>
  <si>
    <t>Buzo Cuello Redondo Oversized L Café</t>
  </si>
  <si>
    <t>BUZ-OVS-CAF-XL</t>
  </si>
  <si>
    <t>Buzo Cuello Redondo Oversized XL Café</t>
  </si>
  <si>
    <t>JOG-NEG-M</t>
  </si>
  <si>
    <t>Jogger Largo M Negro</t>
  </si>
  <si>
    <t>JOG-NEG-L</t>
  </si>
  <si>
    <t>Jogger Largo L Negro</t>
  </si>
  <si>
    <t>JOG-NEG-XL</t>
  </si>
  <si>
    <t>Jogger Largo XL Negro</t>
  </si>
  <si>
    <t>JOG-BEIG-M</t>
  </si>
  <si>
    <t>Jogger Largo M Beige</t>
  </si>
  <si>
    <t>JOG-BEIG-L</t>
  </si>
  <si>
    <t>Jogger Largo L Beige</t>
  </si>
  <si>
    <t>JOG-BEIG-XL</t>
  </si>
  <si>
    <t>Jogger Largo XL Beige</t>
  </si>
  <si>
    <t>JOG-CAF-M</t>
  </si>
  <si>
    <t>Jogger Largo M Café</t>
  </si>
  <si>
    <t>JOG-CAF-L</t>
  </si>
  <si>
    <t>Jogger Largo L Café</t>
  </si>
  <si>
    <t>JOG-CAF-XL</t>
  </si>
  <si>
    <t>Jogger Largo XL Café</t>
  </si>
  <si>
    <t>CHA-NEG-M</t>
  </si>
  <si>
    <t>Chaqueta Cortavientos M Negro</t>
  </si>
  <si>
    <t>CHA-NEG-L</t>
  </si>
  <si>
    <t>Chaqueta Cortavientos L Negro</t>
  </si>
  <si>
    <t>CHA-NEG-XL</t>
  </si>
  <si>
    <t>Chaqueta Cortavientos XL Negro</t>
  </si>
  <si>
    <t>CHA-GRICLA-M</t>
  </si>
  <si>
    <t>Chaqueta Cortavientos M Gris Claro</t>
  </si>
  <si>
    <t>CHA-GRICLA-L</t>
  </si>
  <si>
    <t>Chaqueta Cortavientos L Gris Claro</t>
  </si>
  <si>
    <t>CHA-GRICLA-XL</t>
  </si>
  <si>
    <t>Chaqueta Cortavientos XL Gris Claro</t>
  </si>
  <si>
    <t>CHA-VERNEG-M</t>
  </si>
  <si>
    <t>Chaqueta Cortavientos M Verde Botella/Negro</t>
  </si>
  <si>
    <t>CHA-GRIOSC-M</t>
  </si>
  <si>
    <t>Chaqueta Cortavientos M Gris Oscuro</t>
  </si>
  <si>
    <t>CHA-GRIOSC-L</t>
  </si>
  <si>
    <t>Chaqueta Cortavientos L Gris Oscuro</t>
  </si>
  <si>
    <t>CHA-GRIOSC-XL</t>
  </si>
  <si>
    <t>Chaqueta Cortavientos XL Gris Oscuro</t>
  </si>
  <si>
    <t>CHA-MOSTNEG-L</t>
  </si>
  <si>
    <t>Chaqueta Cortavientos L Mostaza/Negro</t>
  </si>
  <si>
    <t>CHA-MOSTNEG-XL</t>
  </si>
  <si>
    <t>Chaqueta Cortavientos XL Mostaza/Negro</t>
  </si>
  <si>
    <t>CHA-GRINEG-M</t>
  </si>
  <si>
    <t>Chaqueta Cortavientos M Gris Claro/Negro</t>
  </si>
  <si>
    <t>CHA-GRINEG-L</t>
  </si>
  <si>
    <t>Chaqueta Cortavientos L Gris Claro/Negro</t>
  </si>
  <si>
    <t>CHA-GRINEG-XL</t>
  </si>
  <si>
    <t>Chaqueta Cortavientos XL Gris Claro/Negro</t>
  </si>
  <si>
    <t>SUD-NEG-L</t>
  </si>
  <si>
    <t>Sudadera Bota Recta M Negro</t>
  </si>
  <si>
    <t>Sudadera Bota Recta L Negro</t>
  </si>
  <si>
    <t>Sudadera Bota Recta XL Negro</t>
  </si>
  <si>
    <t>SUD-BEIG-M</t>
  </si>
  <si>
    <t>Sudadera Bota Recta M Beige</t>
  </si>
  <si>
    <t>SUD-BEIG-XL</t>
  </si>
  <si>
    <t>Sudadera Bota Recta XL Beige</t>
  </si>
  <si>
    <t>SUD-CAF-M</t>
  </si>
  <si>
    <t>Sudadera Bota Recta M Café</t>
  </si>
  <si>
    <t>SUD-CAF-L</t>
  </si>
  <si>
    <t>Sudadera Bota Recta L Café</t>
  </si>
  <si>
    <t>PANT-NEG-M</t>
  </si>
  <si>
    <t>Pantaloneta M Negro</t>
  </si>
  <si>
    <t>PANT-NEG-L</t>
  </si>
  <si>
    <t>Pantaloneta L Negro</t>
  </si>
  <si>
    <t>PANT-NEG-XL</t>
  </si>
  <si>
    <t>Pantaloneta XL Negro</t>
  </si>
  <si>
    <t>PANT-BEIG-M</t>
  </si>
  <si>
    <t>Pantaloneta M Beige</t>
  </si>
  <si>
    <t>PANT-BEIG-L</t>
  </si>
  <si>
    <t>Pantaloneta L Beige</t>
  </si>
  <si>
    <t>PANT-BEIG-XL</t>
  </si>
  <si>
    <t>Pantaloneta XL Beige</t>
  </si>
  <si>
    <t>PANT-CAF-M</t>
  </si>
  <si>
    <t>Pantaloneta M Café</t>
  </si>
  <si>
    <t>PANT-CAF-L</t>
  </si>
  <si>
    <t>Pantaloneta L Café</t>
  </si>
  <si>
    <t>PANT-CAF-XL</t>
  </si>
  <si>
    <t>Pantaloneta XL Café</t>
  </si>
  <si>
    <t>CAM-REP-YOUT</t>
  </si>
  <si>
    <t xml:space="preserve">Camisa Réplica Y/Out M </t>
  </si>
  <si>
    <t>REPLICA</t>
  </si>
  <si>
    <t>CAM-REP-1.1</t>
  </si>
  <si>
    <t>Camisa Réplica 1.1</t>
  </si>
  <si>
    <t>Fecha</t>
  </si>
  <si>
    <t>Efectivo Inicio</t>
  </si>
  <si>
    <t>Ventas Efectivo</t>
  </si>
  <si>
    <t>Ventas Datáfono</t>
  </si>
  <si>
    <t>Ventas Transf.</t>
  </si>
  <si>
    <t>Gastos Efectivo</t>
  </si>
  <si>
    <t>Efectivo Cierre</t>
  </si>
  <si>
    <t>Diferencia</t>
  </si>
  <si>
    <t>Claudia Ramírez debe 200.000 de Hoodie Acid Wash M</t>
  </si>
  <si>
    <t>Método Pago</t>
  </si>
  <si>
    <t>Cliente</t>
  </si>
  <si>
    <t>Efectivo</t>
  </si>
  <si>
    <t>Transferencia</t>
  </si>
  <si>
    <t>Edison</t>
  </si>
  <si>
    <t>Crédito</t>
  </si>
  <si>
    <t>Claudia Ramírez</t>
  </si>
  <si>
    <t>Se debe completo</t>
  </si>
  <si>
    <t>Datáfono</t>
  </si>
  <si>
    <t>RESUMEN VENTAS</t>
  </si>
  <si>
    <t>Total ventas:</t>
  </si>
  <si>
    <t>Ingresos:</t>
  </si>
  <si>
    <t>Costo mercancía:</t>
  </si>
  <si>
    <t>Margen bruto:</t>
  </si>
  <si>
    <t>COSTOS FIJOS MENSUALES</t>
  </si>
  <si>
    <t>CONCEPTO</t>
  </si>
  <si>
    <t>MONTO (COP)</t>
  </si>
  <si>
    <t>Arriendo mensual</t>
  </si>
  <si>
    <t>Servicios públicos</t>
  </si>
  <si>
    <t>Estimado</t>
  </si>
  <si>
    <t>Internet</t>
  </si>
  <si>
    <t>Primeros dos meses $34.500</t>
  </si>
  <si>
    <t>Persona punto de venta</t>
  </si>
  <si>
    <t>Por ahora atienden socios (Una vez haya persona vale 3.000.000 mensual)</t>
  </si>
  <si>
    <t>Digitales</t>
  </si>
  <si>
    <t>Marketing, IA (Shopify, AI Finder, ManyChat, Google Workspace, Hostinger, Freepik, Mockey) - esas 7 a futuro - Fijos hoy: Shopify, Google Workspace (Dominio)</t>
  </si>
  <si>
    <t>Seguros</t>
  </si>
  <si>
    <t>Imprevistos</t>
  </si>
  <si>
    <t>10% del total</t>
  </si>
  <si>
    <t>Categoría</t>
  </si>
  <si>
    <t>Monto</t>
  </si>
  <si>
    <t>Descripción</t>
  </si>
  <si>
    <t>Responsable</t>
  </si>
  <si>
    <t>CATEGORÍAS DISPONIBLES:</t>
  </si>
  <si>
    <t>RESPONSABLES</t>
  </si>
  <si>
    <t>Rubro</t>
  </si>
  <si>
    <t>Fecha Periódica</t>
  </si>
  <si>
    <t>Arriendo</t>
  </si>
  <si>
    <t>Pago arriendo Diciembre</t>
  </si>
  <si>
    <t>KATHE</t>
  </si>
  <si>
    <t>ORVANN</t>
  </si>
  <si>
    <t>Pago Arriendo</t>
  </si>
  <si>
    <t>1 de cada mes</t>
  </si>
  <si>
    <t>MILE</t>
  </si>
  <si>
    <t>Servicios (Agua, Luz, Gas)</t>
  </si>
  <si>
    <t>Pago Servicios</t>
  </si>
  <si>
    <t>Pago Internet</t>
  </si>
  <si>
    <t>Dotación local</t>
  </si>
  <si>
    <t>Pago arreglo Local</t>
  </si>
  <si>
    <t>Nómina/Vendedor</t>
  </si>
  <si>
    <t>Pago Shopify</t>
  </si>
  <si>
    <t>Contador</t>
  </si>
  <si>
    <t>Pago Correo Corporativo</t>
  </si>
  <si>
    <t>10 de cada mes</t>
  </si>
  <si>
    <t>Publicidad/Marketing</t>
  </si>
  <si>
    <t>Lavamanos</t>
  </si>
  <si>
    <t>Empaque (Bolsas, Etiquetas)</t>
  </si>
  <si>
    <t>Arreglo local</t>
  </si>
  <si>
    <t>Aseo/Mantenimiento</t>
  </si>
  <si>
    <t>Faltantes</t>
  </si>
  <si>
    <t>Transporte</t>
  </si>
  <si>
    <t>Percheros pequeños</t>
  </si>
  <si>
    <t>Comisiones datáfono</t>
  </si>
  <si>
    <t>Aporte por socio</t>
  </si>
  <si>
    <t>Ilustraciones/Diseño</t>
  </si>
  <si>
    <t>Mercancía</t>
  </si>
  <si>
    <t>Pago arriendo Enero</t>
  </si>
  <si>
    <t>Otro</t>
  </si>
  <si>
    <t>Pago mensualidad Freepick y Mockey</t>
  </si>
  <si>
    <t>Espejo, Toldo y Cámaras</t>
  </si>
  <si>
    <t>Adicional espejo</t>
  </si>
  <si>
    <t>Nombre Carpa</t>
  </si>
  <si>
    <t>Diseño Colección 1 (Pulp Fiction)</t>
  </si>
  <si>
    <t>Pago Arriendo Febrero</t>
  </si>
  <si>
    <t>Mercancía Your Brand</t>
  </si>
  <si>
    <t>Pago con TC de JP (Pendiente pago)</t>
  </si>
  <si>
    <t>Domicilio Mercancía Your Brand</t>
  </si>
  <si>
    <r>
      <rPr/>
      <t xml:space="preserve">Compra Dominio </t>
    </r>
    <r>
      <rPr>
        <color rgb="FF1155CC"/>
        <u/>
      </rPr>
      <t>orvann.co</t>
    </r>
  </si>
  <si>
    <r>
      <rPr/>
      <t xml:space="preserve">Compra Dominio </t>
    </r>
    <r>
      <rPr>
        <color rgb="FF1155CC"/>
        <u/>
      </rPr>
      <t>orvann.co</t>
    </r>
  </si>
  <si>
    <t>Transporte mercancía Auren</t>
  </si>
  <si>
    <t>Marquillas y Etiquetas</t>
  </si>
  <si>
    <t>Implementos de aseo</t>
  </si>
  <si>
    <t>Transporte mercancía a tienda</t>
  </si>
  <si>
    <t>Aseo tienda para apertura</t>
  </si>
  <si>
    <t>RESUMEN GASTOS</t>
  </si>
  <si>
    <t>Total gastos:</t>
  </si>
  <si>
    <t>Fecha Pedido</t>
  </si>
  <si>
    <t>Proveedor</t>
  </si>
  <si>
    <t>Unidades</t>
  </si>
  <si>
    <t>Costo Unit.</t>
  </si>
  <si>
    <t>Total</t>
  </si>
  <si>
    <t>Estado Pago</t>
  </si>
  <si>
    <t>Fecha Pago</t>
  </si>
  <si>
    <t>Pendiente</t>
  </si>
  <si>
    <t>Precios Proveedores</t>
  </si>
  <si>
    <t>YOUR BRAND</t>
  </si>
  <si>
    <t>Hoodie L</t>
  </si>
  <si>
    <t>Pagado</t>
  </si>
  <si>
    <t>2 Acid Wash gris</t>
  </si>
  <si>
    <t>AUREN</t>
  </si>
  <si>
    <t>Precio</t>
  </si>
  <si>
    <t xml:space="preserve">Chompa 320gr Talla L </t>
  </si>
  <si>
    <t>Crédito JP - 4 Perla</t>
  </si>
  <si>
    <t>Regular</t>
  </si>
  <si>
    <t xml:space="preserve">Hoodie L </t>
  </si>
  <si>
    <t>Crédito JP - 10 Acid Wash gris</t>
  </si>
  <si>
    <t>Oversize</t>
  </si>
  <si>
    <t>Camiseta Boxy Fit 320gr</t>
  </si>
  <si>
    <t>Crédito JP - 10 negras, 10 blancas, 10 plomo plata</t>
  </si>
  <si>
    <t>Buso regular</t>
  </si>
  <si>
    <t>BRACOR</t>
  </si>
  <si>
    <t>Camiseta Réplica Y/Out 1.1</t>
  </si>
  <si>
    <t>Buso oversize</t>
  </si>
  <si>
    <t>Camiseta Réplica 1.1</t>
  </si>
  <si>
    <t>Pantaloneta</t>
  </si>
  <si>
    <t>Chaqueta Cortavientos</t>
  </si>
  <si>
    <t>24 Chaquetas 1 Color y 12 Chaquetas Bicolor</t>
  </si>
  <si>
    <t>Jogger</t>
  </si>
  <si>
    <t>Pantalonetas</t>
  </si>
  <si>
    <t>12 Pantalonetas (Negras, Beige y Café)</t>
  </si>
  <si>
    <t>Sudadera bota recta</t>
  </si>
  <si>
    <t>Sudadera Bota Recta</t>
  </si>
  <si>
    <t>12 Sudaderas (Negras, Beige y Café)</t>
  </si>
  <si>
    <t>Chompa</t>
  </si>
  <si>
    <t>12 Jogger (Negras, Beige y Café)</t>
  </si>
  <si>
    <t>Chaquetas cortavientos</t>
  </si>
  <si>
    <t>Buso Oversized</t>
  </si>
  <si>
    <t>24 Busos Oversized (Negro, Beige y Café)</t>
  </si>
  <si>
    <t>Sudadera cortavientos</t>
  </si>
  <si>
    <t>Chaqueta reflectiva</t>
  </si>
  <si>
    <t>ETIQUETAS / MARQUILLAS / EMPAQUES</t>
  </si>
  <si>
    <t>TOTAL PEDIDOS</t>
  </si>
  <si>
    <t>Bolsas buenas</t>
  </si>
  <si>
    <t>bolsa sencilla</t>
  </si>
  <si>
    <t>ANÁLISIS DE COSTO REAL POR TIPO DE PRENDA</t>
  </si>
  <si>
    <t>Incluye: Prenda + Estampado + Etiquetas + Empaque</t>
  </si>
  <si>
    <t>COSTOS ADICIONALES (EDITAR EN AZUL)</t>
  </si>
  <si>
    <t>Siempre precio llevando los diseños listos</t>
  </si>
  <si>
    <t>Concepto</t>
  </si>
  <si>
    <t>1-10 uds</t>
  </si>
  <si>
    <t>11-50 uds</t>
  </si>
  <si>
    <t>51-100 uds</t>
  </si>
  <si>
    <t>Más de 100</t>
  </si>
  <si>
    <t>Estampado DTF pequeño (pecho)</t>
  </si>
  <si>
    <t>Se vende por metro. El metro vale aproximadamente 25.000. Salen tamaño (Aprox 57 cm de ancho): punto corazon (Logo pequeño), media carta (Logo estandar tipo clemont), carta (Figura tamaño carta), oficio y tabloide (Casi estampado completo). Salen unos 100 punto corazón, unas 15 media carta, unas 8 carta, unas 6 oficio y 2 tabloides.</t>
  </si>
  <si>
    <t>Estampado DTF grande (espalda)</t>
  </si>
  <si>
    <t>Llenar después de cotizar</t>
  </si>
  <si>
    <t>Estampado Serigrafía (1 color)</t>
  </si>
  <si>
    <t>$8,000</t>
  </si>
  <si>
    <t>$5,000</t>
  </si>
  <si>
    <t>$3,500</t>
  </si>
  <si>
    <t>$2,500</t>
  </si>
  <si>
    <t>El metro de vinilo de alta densidad vale aprox 105.000 (sumando el estampado (72.000) plotteado y descolillado (33.000), si se averigua seguro es más barato) - Solo negro, blanco y rojo normalmente / El metro de vinilo vale aprox 80.000 (sumando el estampado (45.000) plotteado y descolillado (35.000), si se averigua seguro es más barato) - Solo negro, blanco y rojo normalmente. Vinilo sale en un solo color, DTF varios. Vinilo queda con un poco de relieve. DTG no se encontró (Proveedor Santiago)</t>
  </si>
  <si>
    <t>Etiqueta cuello tejida</t>
  </si>
  <si>
    <t>Mínimo típico: 100 uds</t>
  </si>
  <si>
    <t>Hang tag (etiqueta colgante)</t>
  </si>
  <si>
    <t>$800</t>
  </si>
  <si>
    <t>$600</t>
  </si>
  <si>
    <t>$400</t>
  </si>
  <si>
    <t>Con diseño e hilo</t>
  </si>
  <si>
    <t>Bolsa papel con logo</t>
  </si>
  <si>
    <t>Bolsa premium</t>
  </si>
  <si>
    <t>Bolsa Premium</t>
  </si>
  <si>
    <t>Sticker logo</t>
  </si>
  <si>
    <t>Para sellar bolsa y dejar adentro</t>
  </si>
  <si>
    <t>COSTO REAL POR TIPO DE PRODUCTO</t>
  </si>
  <si>
    <t>Tipo Prenda</t>
  </si>
  <si>
    <t>Costo Base AUREN</t>
  </si>
  <si>
    <t>Estampado</t>
  </si>
  <si>
    <t>Etiquetas</t>
  </si>
  <si>
    <t>Empaque</t>
  </si>
  <si>
    <t>COSTO TOTAL</t>
  </si>
  <si>
    <t>Precio Venta Sugerido</t>
  </si>
  <si>
    <t>Camisa Básica (sin estampar)</t>
  </si>
  <si>
    <t>Camisa Estampada Pecho</t>
  </si>
  <si>
    <t>Camisa Estampada Espalda</t>
  </si>
  <si>
    <t>Camisa Estampada Full (pecho+espalda)</t>
  </si>
  <si>
    <t>Chompa Capucha Básica</t>
  </si>
  <si>
    <t>$0</t>
  </si>
  <si>
    <t>Chompa Capucha Estampada</t>
  </si>
  <si>
    <t>Buzo Cuello Redondo Básico</t>
  </si>
  <si>
    <t>Buzo Estampado</t>
  </si>
  <si>
    <t>Jogger Básico</t>
  </si>
  <si>
    <t>Sudadera Bota Recta Básica</t>
  </si>
  <si>
    <t>Pantaloneta Básica</t>
  </si>
  <si>
    <t>Chaqueta Cortavientos Básica</t>
  </si>
  <si>
    <t>Chaqueta Cortavientos Estampada</t>
  </si>
  <si>
    <t>ESCENARIOS DE PRECIO DE VENTA - CAMISA ESTAMPADA</t>
  </si>
  <si>
    <t>Escenario</t>
  </si>
  <si>
    <t>Costo Total</t>
  </si>
  <si>
    <t>Margen $</t>
  </si>
  <si>
    <t>Comentario</t>
  </si>
  <si>
    <t>Económico (réplica)</t>
  </si>
  <si>
    <t>Competir con réplicas baratas</t>
  </si>
  <si>
    <t>Estándar</t>
  </si>
  <si>
    <t>Precio medio del mercado</t>
  </si>
  <si>
    <t>Premium ORVANN</t>
  </si>
  <si>
    <t>Marca propia, diseño exclusivo</t>
  </si>
  <si>
    <t>Ultra Premium (edición limitada)</t>
  </si>
  <si>
    <t>Colección especial, empaque VHS/Vinilo</t>
  </si>
  <si>
    <t>NOTAS IMPORTANTES:</t>
  </si>
  <si>
    <t>Los precios en AZUL son inputs</t>
  </si>
  <si>
    <t>Para réplicas (Clemont, etc): menor margen pero mayor volumen</t>
  </si>
  <si>
    <t>Para colecciones ORVANN: mayor margen, menor volumen, más exclusividad</t>
  </si>
  <si>
    <t>COTIZADOR DE COMPRAS - ORVANN</t>
  </si>
  <si>
    <t>CATÁLOGO DE PRODUCTOS (Referencia de Costos)</t>
  </si>
  <si>
    <t>LISTAS DE OPCIONES (Ocultar esta columna)</t>
  </si>
  <si>
    <t>Tipo Producto</t>
  </si>
  <si>
    <t>Costo Base</t>
  </si>
  <si>
    <t>Estampado Pecho</t>
  </si>
  <si>
    <t>Estampado Espalda</t>
  </si>
  <si>
    <t>Precio Venta Basica</t>
  </si>
  <si>
    <t>Precio Venta Estampado Full</t>
  </si>
  <si>
    <t>Precio Venta Estampado Pecho</t>
  </si>
  <si>
    <t>Productos</t>
  </si>
  <si>
    <t>Tallas</t>
  </si>
  <si>
    <t>Colores</t>
  </si>
  <si>
    <t>Camisa Oversize</t>
  </si>
  <si>
    <t>S</t>
  </si>
  <si>
    <t>Negro</t>
  </si>
  <si>
    <t>Sin estampar</t>
  </si>
  <si>
    <t>Camisa Oversize Peruana</t>
  </si>
  <si>
    <t>M</t>
  </si>
  <si>
    <t>Blanco</t>
  </si>
  <si>
    <t>Pecho</t>
  </si>
  <si>
    <t>Camisa Regular</t>
  </si>
  <si>
    <t>L</t>
  </si>
  <si>
    <t>Plomo Plata</t>
  </si>
  <si>
    <t>Espalda</t>
  </si>
  <si>
    <t>Camisa Boxy fit</t>
  </si>
  <si>
    <t>XL</t>
  </si>
  <si>
    <t>Beige</t>
  </si>
  <si>
    <t>Full (Pecho+Espalda)</t>
  </si>
  <si>
    <t>Chompa Capucha</t>
  </si>
  <si>
    <t>2XL</t>
  </si>
  <si>
    <t>Perla</t>
  </si>
  <si>
    <t>Especial</t>
  </si>
  <si>
    <t>Hoodie</t>
  </si>
  <si>
    <t>Unica</t>
  </si>
  <si>
    <t>Acid Wash Gris</t>
  </si>
  <si>
    <t>Buzo Cuello Redondo Regular</t>
  </si>
  <si>
    <t>Verde Botella</t>
  </si>
  <si>
    <t>Buzo Cuello Redondo Oversized</t>
  </si>
  <si>
    <t>Café</t>
  </si>
  <si>
    <t>Jogger Largo</t>
  </si>
  <si>
    <t>Sudadera Cortavientos</t>
  </si>
  <si>
    <t>Gorra</t>
  </si>
  <si>
    <t>Camisa Réplica Y/Out</t>
  </si>
  <si>
    <t>Camisa Réplica White Out</t>
  </si>
  <si>
    <t>PLANIFICADOR DE COMPRA</t>
  </si>
  <si>
    <t>Talla</t>
  </si>
  <si>
    <t>Color</t>
  </si>
  <si>
    <t>Cantidad</t>
  </si>
  <si>
    <t>Provedor</t>
  </si>
  <si>
    <t>Costo Prenda</t>
  </si>
  <si>
    <t>Costo Estampado</t>
  </si>
  <si>
    <t>Costo Etiquetas</t>
  </si>
  <si>
    <t>Costo Empaque</t>
  </si>
  <si>
    <t>Precio Venta Unit.</t>
  </si>
  <si>
    <t>VENTA TOTAL</t>
  </si>
  <si>
    <t>Costo Unitario</t>
  </si>
  <si>
    <t>Margen</t>
  </si>
  <si>
    <t>Nombre</t>
  </si>
  <si>
    <t>Costo Prendas</t>
  </si>
  <si>
    <t>Precio unitario x3</t>
  </si>
  <si>
    <t>Precio x3</t>
  </si>
  <si>
    <t>Margen x3</t>
  </si>
  <si>
    <t>Precio unitario x6</t>
  </si>
  <si>
    <t>Precio x6</t>
  </si>
  <si>
    <t>Margen x6</t>
  </si>
  <si>
    <t>Precio Unit x12</t>
  </si>
  <si>
    <t>Precio x12 +</t>
  </si>
  <si>
    <t>Margen x12</t>
  </si>
  <si>
    <t>Chaqueta Cortavientos M Beige</t>
  </si>
  <si>
    <t>Chaqueta Cortavientos L Beige</t>
  </si>
  <si>
    <t>Chaqueta Cortavientos XL Beige</t>
  </si>
  <si>
    <t>Chaqueta Cortavientos M Verde Botella</t>
  </si>
  <si>
    <t>Chaqueta Cortavientos L Verde Botella</t>
  </si>
  <si>
    <t>Chaqueta Cortavientos XL Verde Botella</t>
  </si>
  <si>
    <t>Sudadera Bota Recta L Beige</t>
  </si>
  <si>
    <t>TOTALES</t>
  </si>
  <si>
    <t>RESUMEN</t>
  </si>
  <si>
    <t>Total Unidades:</t>
  </si>
  <si>
    <t>DESGLOSE DE COSTOS:</t>
  </si>
  <si>
    <t>PROVEEDOR</t>
  </si>
  <si>
    <t>PAGO</t>
  </si>
  <si>
    <t>Cada uno</t>
  </si>
  <si>
    <t>Inversión Total (Costo):</t>
  </si>
  <si>
    <t xml:space="preserve">  • Prendas:</t>
  </si>
  <si>
    <t>CREDITO</t>
  </si>
  <si>
    <t>Venta Esperada:</t>
  </si>
  <si>
    <t xml:space="preserve">  • Estampado:</t>
  </si>
  <si>
    <t>TC</t>
  </si>
  <si>
    <t>Ganancia Bruta Estimada:</t>
  </si>
  <si>
    <t xml:space="preserve">  • Etiquetas:</t>
  </si>
  <si>
    <t>Margen Bruto %:</t>
  </si>
  <si>
    <t xml:space="preserve">  • Empaque:</t>
  </si>
  <si>
    <t xml:space="preserve">  TOTAL:</t>
  </si>
  <si>
    <t>TOTAL SIN PRENDAS:</t>
  </si>
  <si>
    <t>Cada Uno</t>
  </si>
  <si>
    <t>Cuanto hay que vender para no perder</t>
  </si>
  <si>
    <t>SUPUESTOS</t>
  </si>
  <si>
    <t>Costos fijos mensuales</t>
  </si>
  <si>
    <t>Precio promedio de venta por prenda</t>
  </si>
  <si>
    <t>Costo promedio por prenda</t>
  </si>
  <si>
    <t>Margen bruto promedio por prenda</t>
  </si>
  <si>
    <t>CÁLCULO PUNTO DE EQUILIBRIO</t>
  </si>
  <si>
    <t>Prendas a vender por mes para cubrir costos</t>
  </si>
  <si>
    <t>Prendas a vender por día (26 días/mes)</t>
  </si>
  <si>
    <t>Ventas mensuales mínimas</t>
  </si>
  <si>
    <t>PROYECCIÓN FLUJO DE CAJA - 6 MESES</t>
  </si>
  <si>
    <t>Escenario de ventas (prendas/día)</t>
  </si>
  <si>
    <t>Cambiar</t>
  </si>
  <si>
    <t>Días operativos</t>
  </si>
  <si>
    <t>Prendas vendidas</t>
  </si>
  <si>
    <t>INGRESOS</t>
  </si>
  <si>
    <t>Ventas brutas</t>
  </si>
  <si>
    <t>EGRESOS</t>
  </si>
  <si>
    <t>Costo mercancía</t>
  </si>
  <si>
    <t>Costo Estampaciones y empaques (8% merch)</t>
  </si>
  <si>
    <t>Costos fijos</t>
  </si>
  <si>
    <t>Inversión inicial</t>
  </si>
  <si>
    <t>Total egresos</t>
  </si>
  <si>
    <t>RESULTADO</t>
  </si>
  <si>
    <t>Utilidad mensual</t>
  </si>
  <si>
    <t>Utilidad por socio (3)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</si>
</sst>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#,##0;(#,##0)"/>
    <numFmt numFmtId="166" formatCode="\$#,##0"/>
    <numFmt numFmtId="167" formatCode="0.0%"/>
    <numFmt numFmtId="168" formatCode="#,##0;\(#,##0\)"/>
    <numFmt numFmtId="169" formatCode="_-* #,##0_-;\-* #,##0_-;_-* &quot;-&quot;??_-;_-@"/>
    <numFmt numFmtId="170" formatCode="dd/mm/yyyy"/>
    <numFmt numFmtId="171" formatCode="&quot;$&quot;#,##0"/>
    <numFmt numFmtId="172" formatCode="&quot;$&quot;#,##0;\(&quot;$&quot;#,##0\);&quot;-&quot;"/>
  </numFmts>
  <fonts count="30">
    <font>
      <sz val="11.0"/>
      <color theme="1"/>
      <name val="Calibri"/>
      <scheme val="minor"/>
    </font>
    <font>
      <b/>
      <sz val="16.0"/>
      <color theme="1"/>
      <name val="Cambria"/>
    </font>
    <font>
      <b/>
      <sz val="11.0"/>
      <color theme="1"/>
      <name val="Calibri"/>
    </font>
    <font>
      <i/>
      <sz val="11.0"/>
      <color rgb="FF666666"/>
      <name val="Cambria"/>
    </font>
    <font>
      <sz val="11.0"/>
      <color theme="1"/>
      <name val="Calibri"/>
    </font>
    <font>
      <b/>
      <sz val="11.0"/>
      <color rgb="FFFFFFFF"/>
      <name val="Cambria"/>
    </font>
    <font>
      <b/>
      <sz val="12.0"/>
      <color theme="1"/>
      <name val="Cambria"/>
    </font>
    <font>
      <sz val="11.0"/>
      <color rgb="FF000000"/>
      <name val="Cambria"/>
    </font>
    <font>
      <sz val="11.0"/>
      <color rgb="FF1F1F1F"/>
      <name val="Google Sans"/>
    </font>
    <font>
      <b/>
      <sz val="11.0"/>
      <color theme="1"/>
      <name val="Cambria"/>
    </font>
    <font>
      <b/>
      <sz val="11.0"/>
      <color rgb="FF000000"/>
      <name val="Cambria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0000FF"/>
      <name val="Cambria"/>
    </font>
    <font>
      <color theme="1"/>
      <name val="Calibri"/>
      <scheme val="minor"/>
    </font>
    <font>
      <b/>
      <sz val="14.0"/>
      <color theme="1"/>
      <name val="Cambria"/>
    </font>
    <font>
      <sz val="9.0"/>
      <color rgb="FF666666"/>
      <name val="Cambria"/>
    </font>
    <font>
      <u/>
      <color rgb="FF0000FF"/>
    </font>
    <font>
      <b/>
      <color theme="1"/>
      <name val="Calibri"/>
      <scheme val="minor"/>
    </font>
    <font>
      <sz val="11.0"/>
      <color rgb="FF666666"/>
      <name val="Cambria"/>
    </font>
    <font>
      <b/>
      <sz val="16.0"/>
      <color rgb="FFFFFFFF"/>
      <name val="Calibri"/>
    </font>
    <font>
      <b/>
      <sz val="12.0"/>
      <color theme="1"/>
      <name val="Calibri"/>
    </font>
    <font>
      <b/>
      <sz val="9.0"/>
      <color theme="1"/>
      <name val="Calibri"/>
    </font>
    <font>
      <b/>
      <sz val="11.0"/>
      <color rgb="FFFFFFFF"/>
      <name val="Calibri"/>
    </font>
    <font>
      <b/>
      <sz val="14.0"/>
      <color rgb="FFFFFFFF"/>
      <name val="Calibri"/>
    </font>
    <font>
      <i/>
      <sz val="10.0"/>
      <color theme="1"/>
      <name val="Calibri"/>
    </font>
    <font>
      <sz val="11.0"/>
      <color rgb="FF0000FF"/>
      <name val="Calibri"/>
    </font>
    <font>
      <sz val="11.0"/>
      <color rgb="FF4CAF50"/>
      <name val="Calibri"/>
    </font>
    <font>
      <b/>
      <sz val="11.0"/>
      <color rgb="FF1B5E20"/>
      <name val="Calibri"/>
    </font>
    <font>
      <sz val="10.0"/>
      <color theme="1"/>
      <name val="Calibri"/>
    </font>
  </fonts>
  <fills count="2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1A1A1A"/>
        <bgColor rgb="FF1A1A1A"/>
      </patternFill>
    </fill>
    <fill>
      <patternFill patternType="solid">
        <fgColor rgb="FFFFFF00"/>
        <bgColor rgb="FFFFFF00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1565C0"/>
        <bgColor rgb="FF1565C0"/>
      </patternFill>
    </fill>
    <fill>
      <patternFill patternType="solid">
        <fgColor rgb="FFFFF59D"/>
        <bgColor rgb="FFFFF59D"/>
      </patternFill>
    </fill>
    <fill>
      <patternFill patternType="solid">
        <fgColor rgb="FF0D47A1"/>
        <bgColor rgb="FF0D47A1"/>
      </patternFill>
    </fill>
    <fill>
      <patternFill patternType="solid">
        <fgColor rgb="FF1B5E20"/>
        <bgColor rgb="FF1B5E20"/>
      </patternFill>
    </fill>
    <fill>
      <patternFill patternType="solid">
        <fgColor rgb="FFE3F2FD"/>
        <bgColor rgb="FFE3F2FD"/>
      </patternFill>
    </fill>
    <fill>
      <patternFill patternType="solid">
        <fgColor rgb="FFE8EAF6"/>
        <bgColor rgb="FFE8EAF6"/>
      </patternFill>
    </fill>
    <fill>
      <patternFill patternType="solid">
        <fgColor rgb="FFFFF2CC"/>
        <bgColor rgb="FFFFF2CC"/>
      </patternFill>
    </fill>
    <fill>
      <patternFill patternType="solid">
        <fgColor rgb="FFFF6F00"/>
        <bgColor rgb="FFFF6F00"/>
      </patternFill>
    </fill>
    <fill>
      <patternFill patternType="solid">
        <fgColor rgb="FFFFF3E0"/>
        <bgColor rgb="FFFFF3E0"/>
      </patternFill>
    </fill>
    <fill>
      <patternFill patternType="solid">
        <fgColor rgb="FFFFECB3"/>
        <bgColor rgb="FFFFECB3"/>
      </patternFill>
    </fill>
    <fill>
      <patternFill patternType="solid">
        <fgColor rgb="FFC2D69B"/>
        <bgColor rgb="FFC2D69B"/>
      </patternFill>
    </fill>
    <fill>
      <patternFill patternType="solid">
        <fgColor rgb="FFFFFDE7"/>
        <bgColor rgb="FFFFFDE7"/>
      </patternFill>
    </fill>
    <fill>
      <patternFill patternType="solid">
        <fgColor rgb="FFEAF1DD"/>
        <bgColor rgb="FFEAF1DD"/>
      </patternFill>
    </fill>
    <fill>
      <patternFill patternType="solid">
        <fgColor rgb="FFFFE082"/>
        <bgColor rgb="FFFFE082"/>
      </patternFill>
    </fill>
  </fills>
  <borders count="1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164" xfId="0" applyAlignment="1" applyBorder="1" applyFill="1" applyFont="1" applyNumberFormat="1">
      <alignment readingOrder="0"/>
    </xf>
    <xf borderId="0" fillId="0" fontId="4" numFmtId="0" xfId="0" applyFont="1"/>
    <xf borderId="1" fillId="3" fontId="5" numFmtId="0" xfId="0" applyAlignment="1" applyBorder="1" applyFill="1" applyFont="1">
      <alignment horizontal="center" vertical="bottom"/>
    </xf>
    <xf borderId="1" fillId="3" fontId="5" numFmtId="165" xfId="0" applyAlignment="1" applyBorder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right" vertical="bottom"/>
    </xf>
    <xf borderId="0" fillId="0" fontId="6" numFmtId="0" xfId="0" applyFont="1"/>
    <xf borderId="0" fillId="0" fontId="7" numFmtId="166" xfId="0" applyFont="1" applyNumberFormat="1"/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vertical="bottom"/>
    </xf>
    <xf borderId="0" fillId="0" fontId="4" numFmtId="166" xfId="0" applyFont="1" applyNumberFormat="1"/>
    <xf borderId="0" fillId="0" fontId="4" numFmtId="167" xfId="0" applyFont="1" applyNumberFormat="1"/>
    <xf borderId="1" fillId="4" fontId="8" numFmtId="0" xfId="0" applyBorder="1" applyFill="1" applyFont="1"/>
    <xf borderId="1" fillId="5" fontId="9" numFmtId="0" xfId="0" applyAlignment="1" applyBorder="1" applyFill="1" applyFont="1">
      <alignment vertical="bottom"/>
    </xf>
    <xf borderId="1" fillId="5" fontId="9" numFmtId="165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11" numFmtId="168" xfId="0" applyFont="1" applyNumberFormat="1"/>
    <xf borderId="0" fillId="0" fontId="12" numFmtId="0" xfId="0" applyFont="1"/>
    <xf borderId="0" fillId="0" fontId="11" numFmtId="168" xfId="0" applyAlignment="1" applyFont="1" applyNumberFormat="1">
      <alignment horizontal="right"/>
    </xf>
    <xf borderId="2" fillId="6" fontId="5" numFmtId="0" xfId="0" applyAlignment="1" applyBorder="1" applyFill="1" applyFont="1">
      <alignment horizontal="center"/>
    </xf>
    <xf borderId="2" fillId="6" fontId="5" numFmtId="168" xfId="0" applyAlignment="1" applyBorder="1" applyFont="1" applyNumberFormat="1">
      <alignment horizontal="center"/>
    </xf>
    <xf borderId="2" fillId="4" fontId="11" numFmtId="0" xfId="0" applyAlignment="1" applyBorder="1" applyFont="1">
      <alignment readingOrder="0"/>
    </xf>
    <xf borderId="2" fillId="4" fontId="11" numFmtId="0" xfId="0" applyBorder="1" applyFont="1"/>
    <xf borderId="2" fillId="4" fontId="13" numFmtId="168" xfId="0" applyAlignment="1" applyBorder="1" applyFont="1" applyNumberFormat="1">
      <alignment horizontal="right" readingOrder="0"/>
    </xf>
    <xf borderId="2" fillId="4" fontId="11" numFmtId="167" xfId="0" applyAlignment="1" applyBorder="1" applyFont="1" applyNumberFormat="1">
      <alignment horizontal="right"/>
    </xf>
    <xf borderId="2" fillId="4" fontId="11" numFmtId="0" xfId="0" applyAlignment="1" applyBorder="1" applyFont="1">
      <alignment horizontal="right" readingOrder="0"/>
    </xf>
    <xf borderId="2" fillId="4" fontId="11" numFmtId="169" xfId="0" applyBorder="1" applyFont="1" applyNumberFormat="1"/>
    <xf borderId="2" fillId="4" fontId="11" numFmtId="0" xfId="0" applyAlignment="1" applyBorder="1" applyFont="1">
      <alignment horizontal="right"/>
    </xf>
    <xf borderId="2" fillId="4" fontId="13" numFmtId="168" xfId="0" applyAlignment="1" applyBorder="1" applyFont="1" applyNumberFormat="1">
      <alignment horizontal="right"/>
    </xf>
    <xf borderId="2" fillId="4" fontId="11" numFmtId="169" xfId="0" applyAlignment="1" applyBorder="1" applyFont="1" applyNumberFormat="1">
      <alignment readingOrder="0"/>
    </xf>
    <xf borderId="0" fillId="4" fontId="11" numFmtId="0" xfId="0" applyAlignment="1" applyFont="1">
      <alignment readingOrder="0"/>
    </xf>
    <xf borderId="0" fillId="4" fontId="11" numFmtId="0" xfId="0" applyFont="1"/>
    <xf borderId="0" fillId="4" fontId="11" numFmtId="168" xfId="0" applyFont="1" applyNumberFormat="1"/>
    <xf borderId="2" fillId="6" fontId="5" numFmtId="0" xfId="0" applyAlignment="1" applyBorder="1" applyFont="1">
      <alignment horizontal="center" vertical="center"/>
    </xf>
    <xf borderId="0" fillId="0" fontId="4" numFmtId="170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4" numFmtId="170" xfId="0" applyFont="1" applyNumberFormat="1"/>
    <xf borderId="0" fillId="0" fontId="14" numFmtId="0" xfId="0" applyFont="1"/>
    <xf borderId="0" fillId="0" fontId="9" numFmtId="0" xfId="0" applyFont="1"/>
    <xf borderId="0" fillId="0" fontId="15" numFmtId="0" xfId="0" applyAlignment="1" applyFont="1">
      <alignment vertical="bottom"/>
    </xf>
    <xf borderId="1" fillId="3" fontId="5" numFmtId="0" xfId="0" applyAlignment="1" applyBorder="1" applyFont="1">
      <alignment vertical="bottom"/>
    </xf>
    <xf borderId="0" fillId="0" fontId="13" numFmtId="166" xfId="0" applyAlignment="1" applyFont="1" applyNumberFormat="1">
      <alignment horizontal="right" vertical="bottom"/>
    </xf>
    <xf borderId="1" fillId="4" fontId="13" numFmtId="166" xfId="0" applyAlignment="1" applyBorder="1" applyFont="1" applyNumberFormat="1">
      <alignment horizontal="right" vertical="bottom"/>
    </xf>
    <xf borderId="1" fillId="4" fontId="13" numFmtId="166" xfId="0" applyAlignment="1" applyBorder="1" applyFont="1" applyNumberFormat="1">
      <alignment horizontal="right" readingOrder="0" vertical="bottom"/>
    </xf>
    <xf borderId="1" fillId="4" fontId="4" numFmtId="166" xfId="0" applyAlignment="1" applyBorder="1" applyFont="1" applyNumberFormat="1">
      <alignment vertical="bottom"/>
    </xf>
    <xf borderId="1" fillId="5" fontId="9" numFmtId="166" xfId="0" applyAlignment="1" applyBorder="1" applyFont="1" applyNumberFormat="1">
      <alignment horizontal="right" vertical="bottom"/>
    </xf>
    <xf borderId="2" fillId="6" fontId="5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9" numFmtId="168" xfId="0" applyAlignment="1" applyFont="1" applyNumberFormat="1">
      <alignment horizontal="center"/>
    </xf>
    <xf borderId="0" fillId="0" fontId="4" numFmtId="0" xfId="0" applyAlignment="1" applyFont="1">
      <alignment horizontal="center" readingOrder="0"/>
    </xf>
    <xf borderId="1" fillId="0" fontId="4" numFmtId="0" xfId="0" applyBorder="1" applyFont="1"/>
    <xf borderId="0" fillId="0" fontId="16" numFmtId="0" xfId="0" applyFont="1"/>
    <xf borderId="0" fillId="0" fontId="4" numFmtId="168" xfId="0" applyFont="1" applyNumberFormat="1"/>
    <xf borderId="0" fillId="0" fontId="14" numFmtId="168" xfId="0" applyFont="1" applyNumberFormat="1"/>
    <xf borderId="0" fillId="7" fontId="14" numFmtId="0" xfId="0" applyFill="1" applyFont="1"/>
    <xf borderId="0" fillId="7" fontId="14" numFmtId="0" xfId="0" applyAlignment="1" applyFont="1">
      <alignment readingOrder="0"/>
    </xf>
    <xf borderId="0" fillId="0" fontId="12" numFmtId="165" xfId="0" applyAlignment="1" applyFont="1" applyNumberFormat="1">
      <alignment readingOrder="0"/>
    </xf>
    <xf borderId="0" fillId="0" fontId="12" numFmtId="165" xfId="0" applyAlignment="1" applyFont="1" applyNumberFormat="1">
      <alignment horizontal="right" readingOrder="0"/>
    </xf>
    <xf borderId="0" fillId="0" fontId="12" numFmtId="0" xfId="0" applyAlignment="1" applyFont="1">
      <alignment horizontal="right"/>
    </xf>
    <xf borderId="0" fillId="0" fontId="16" numFmtId="0" xfId="0" applyAlignment="1" applyFont="1">
      <alignment readingOrder="0"/>
    </xf>
    <xf borderId="1" fillId="4" fontId="4" numFmtId="0" xfId="0" applyBorder="1" applyFont="1"/>
    <xf borderId="0" fillId="0" fontId="12" numFmtId="0" xfId="0" applyAlignment="1" applyFont="1">
      <alignment horizontal="right" readingOrder="0"/>
    </xf>
    <xf borderId="0" fillId="2" fontId="4" numFmtId="0" xfId="0" applyAlignment="1" applyFont="1">
      <alignment readingOrder="0"/>
    </xf>
    <xf borderId="0" fillId="7" fontId="4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9" numFmtId="0" xfId="0" applyAlignment="1" applyFont="1">
      <alignment horizontal="center" vertical="center"/>
    </xf>
    <xf borderId="0" fillId="0" fontId="14" numFmtId="165" xfId="0" applyFont="1" applyNumberFormat="1"/>
    <xf borderId="0" fillId="0" fontId="18" numFmtId="0" xfId="0" applyAlignment="1" applyFont="1">
      <alignment readingOrder="0"/>
    </xf>
    <xf borderId="0" fillId="0" fontId="18" numFmtId="165" xfId="0" applyFont="1" applyNumberFormat="1"/>
    <xf borderId="2" fillId="4" fontId="4" numFmtId="170" xfId="0" applyAlignment="1" applyBorder="1" applyFont="1" applyNumberFormat="1">
      <alignment vertical="center"/>
    </xf>
    <xf borderId="2" fillId="0" fontId="4" numFmtId="0" xfId="0" applyAlignment="1" applyBorder="1" applyFont="1">
      <alignment vertical="center"/>
    </xf>
    <xf borderId="2" fillId="0" fontId="4" numFmtId="0" xfId="0" applyAlignment="1" applyBorder="1" applyFont="1">
      <alignment readingOrder="0" vertical="center"/>
    </xf>
    <xf borderId="2" fillId="7" fontId="4" numFmtId="166" xfId="0" applyAlignment="1" applyBorder="1" applyFont="1" applyNumberFormat="1">
      <alignment readingOrder="0" vertical="center"/>
    </xf>
    <xf borderId="2" fillId="0" fontId="4" numFmtId="166" xfId="0" applyAlignment="1" applyBorder="1" applyFont="1" applyNumberFormat="1">
      <alignment vertical="center"/>
    </xf>
    <xf borderId="2" fillId="0" fontId="4" numFmtId="170" xfId="0" applyAlignment="1" applyBorder="1" applyFont="1" applyNumberFormat="1">
      <alignment vertical="center"/>
    </xf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readingOrder="0" vertical="bottom"/>
    </xf>
    <xf borderId="2" fillId="0" fontId="4" numFmtId="170" xfId="0" applyAlignment="1" applyBorder="1" applyFont="1" applyNumberFormat="1">
      <alignment readingOrder="0" vertical="center"/>
    </xf>
    <xf borderId="2" fillId="4" fontId="4" numFmtId="170" xfId="0" applyAlignment="1" applyBorder="1" applyFont="1" applyNumberFormat="1">
      <alignment readingOrder="0" vertical="center"/>
    </xf>
    <xf borderId="0" fillId="0" fontId="18" numFmtId="0" xfId="0" applyFont="1"/>
    <xf borderId="2" fillId="0" fontId="4" numFmtId="166" xfId="0" applyAlignment="1" applyBorder="1" applyFont="1" applyNumberFormat="1">
      <alignment readingOrder="0" vertical="center"/>
    </xf>
    <xf borderId="2" fillId="0" fontId="9" numFmtId="170" xfId="0" applyAlignment="1" applyBorder="1" applyFont="1" applyNumberFormat="1">
      <alignment vertical="center"/>
    </xf>
    <xf borderId="0" fillId="0" fontId="15" numFmtId="0" xfId="0" applyFont="1"/>
    <xf borderId="2" fillId="0" fontId="11" numFmtId="0" xfId="0" applyBorder="1" applyFont="1"/>
    <xf borderId="2" fillId="7" fontId="13" numFmtId="168" xfId="0" applyAlignment="1" applyBorder="1" applyFont="1" applyNumberFormat="1">
      <alignment horizontal="right"/>
    </xf>
    <xf borderId="2" fillId="0" fontId="16" numFmtId="0" xfId="0" applyBorder="1" applyFont="1"/>
    <xf borderId="2" fillId="7" fontId="11" numFmtId="168" xfId="0" applyAlignment="1" applyBorder="1" applyFont="1" applyNumberFormat="1">
      <alignment horizontal="right"/>
    </xf>
    <xf borderId="2" fillId="0" fontId="11" numFmtId="168" xfId="0" applyAlignment="1" applyBorder="1" applyFont="1" applyNumberFormat="1">
      <alignment horizontal="right"/>
    </xf>
    <xf borderId="2" fillId="0" fontId="9" numFmtId="168" xfId="0" applyAlignment="1" applyBorder="1" applyFont="1" applyNumberFormat="1">
      <alignment horizontal="right"/>
    </xf>
    <xf borderId="2" fillId="0" fontId="13" numFmtId="168" xfId="0" applyAlignment="1" applyBorder="1" applyFont="1" applyNumberFormat="1">
      <alignment horizontal="right"/>
    </xf>
    <xf borderId="2" fillId="0" fontId="11" numFmtId="167" xfId="0" applyAlignment="1" applyBorder="1" applyFont="1" applyNumberFormat="1">
      <alignment horizontal="right"/>
    </xf>
    <xf borderId="0" fillId="0" fontId="19" numFmtId="0" xfId="0" applyFont="1"/>
    <xf borderId="1" fillId="8" fontId="20" numFmtId="0" xfId="0" applyAlignment="1" applyBorder="1" applyFill="1" applyFont="1">
      <alignment horizontal="center"/>
    </xf>
    <xf borderId="0" fillId="0" fontId="4" numFmtId="169" xfId="0" applyFont="1" applyNumberFormat="1"/>
    <xf borderId="3" fillId="9" fontId="21" numFmtId="0" xfId="0" applyBorder="1" applyFill="1" applyFont="1"/>
    <xf borderId="1" fillId="10" fontId="22" numFmtId="0" xfId="0" applyBorder="1" applyFill="1" applyFont="1"/>
    <xf borderId="4" fillId="11" fontId="23" numFmtId="0" xfId="0" applyAlignment="1" applyBorder="1" applyFill="1" applyFont="1">
      <alignment horizontal="center"/>
    </xf>
    <xf borderId="5" fillId="11" fontId="23" numFmtId="0" xfId="0" applyAlignment="1" applyBorder="1" applyFont="1">
      <alignment horizontal="center"/>
    </xf>
    <xf borderId="5" fillId="12" fontId="23" numFmtId="0" xfId="0" applyAlignment="1" applyBorder="1" applyFill="1" applyFont="1">
      <alignment horizontal="center"/>
    </xf>
    <xf borderId="6" fillId="11" fontId="23" numFmtId="0" xfId="0" applyAlignment="1" applyBorder="1" applyFont="1">
      <alignment horizontal="center"/>
    </xf>
    <xf borderId="1" fillId="13" fontId="2" numFmtId="0" xfId="0" applyBorder="1" applyFill="1" applyFont="1"/>
    <xf borderId="1" fillId="13" fontId="2" numFmtId="169" xfId="0" applyBorder="1" applyFont="1" applyNumberFormat="1"/>
    <xf borderId="0" fillId="0" fontId="4" numFmtId="0" xfId="0" applyFont="1"/>
    <xf borderId="0" fillId="0" fontId="4" numFmtId="171" xfId="0" applyFont="1" applyNumberFormat="1"/>
    <xf borderId="0" fillId="0" fontId="4" numFmtId="171" xfId="0" applyAlignment="1" applyFont="1" applyNumberFormat="1">
      <alignment readingOrder="0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4" numFmtId="169" xfId="0" applyFont="1" applyNumberFormat="1"/>
    <xf borderId="0" fillId="0" fontId="4" numFmtId="49" xfId="0" applyFont="1" applyNumberFormat="1"/>
    <xf borderId="0" fillId="0" fontId="4" numFmtId="169" xfId="0" applyAlignment="1" applyFont="1" applyNumberFormat="1">
      <alignment readingOrder="0"/>
    </xf>
    <xf borderId="0" fillId="0" fontId="4" numFmtId="49" xfId="0" applyAlignment="1" applyFont="1" applyNumberFormat="1">
      <alignment readingOrder="0"/>
    </xf>
    <xf borderId="1" fillId="12" fontId="24" numFmtId="49" xfId="0" applyAlignment="1" applyBorder="1" applyFont="1" applyNumberFormat="1">
      <alignment horizontal="center"/>
    </xf>
    <xf borderId="0" fillId="0" fontId="25" numFmtId="0" xfId="0" applyFont="1"/>
    <xf borderId="7" fillId="12" fontId="23" numFmtId="0" xfId="0" applyAlignment="1" applyBorder="1" applyFont="1">
      <alignment horizontal="center"/>
    </xf>
    <xf borderId="7" fillId="14" fontId="23" numFmtId="0" xfId="0" applyAlignment="1" applyBorder="1" applyFill="1" applyFont="1">
      <alignment horizontal="center"/>
    </xf>
    <xf borderId="7" fillId="15" fontId="23" numFmtId="0" xfId="0" applyAlignment="1" applyBorder="1" applyFill="1" applyFont="1">
      <alignment horizontal="center"/>
    </xf>
    <xf borderId="1" fillId="12" fontId="23" numFmtId="0" xfId="0" applyAlignment="1" applyBorder="1" applyFont="1">
      <alignment horizontal="center"/>
    </xf>
    <xf borderId="8" fillId="12" fontId="23" numFmtId="0" xfId="0" applyAlignment="1" applyBorder="1" applyFont="1">
      <alignment horizontal="center" shrinkToFit="0" wrapText="1"/>
    </xf>
    <xf borderId="0" fillId="12" fontId="23" numFmtId="169" xfId="0" applyAlignment="1" applyFont="1" applyNumberFormat="1">
      <alignment horizontal="center" readingOrder="0"/>
    </xf>
    <xf borderId="1" fillId="12" fontId="23" numFmtId="169" xfId="0" applyAlignment="1" applyBorder="1" applyFont="1" applyNumberFormat="1">
      <alignment horizontal="center"/>
    </xf>
    <xf borderId="1" fillId="16" fontId="26" numFmtId="0" xfId="0" applyAlignment="1" applyBorder="1" applyFill="1" applyFont="1">
      <alignment readingOrder="0"/>
    </xf>
    <xf borderId="1" fillId="16" fontId="26" numFmtId="0" xfId="0" applyBorder="1" applyFont="1"/>
    <xf borderId="1" fillId="16" fontId="26" numFmtId="1" xfId="0" applyAlignment="1" applyBorder="1" applyFont="1" applyNumberFormat="1">
      <alignment readingOrder="0"/>
    </xf>
    <xf borderId="0" fillId="0" fontId="4" numFmtId="172" xfId="0" applyFont="1" applyNumberFormat="1"/>
    <xf borderId="0" fillId="0" fontId="11" numFmtId="169" xfId="0" applyFont="1" applyNumberFormat="1"/>
    <xf borderId="1" fillId="17" fontId="2" numFmtId="169" xfId="0" applyBorder="1" applyFill="1" applyFont="1" applyNumberFormat="1"/>
    <xf borderId="1" fillId="9" fontId="2" numFmtId="169" xfId="0" applyBorder="1" applyFont="1" applyNumberFormat="1"/>
    <xf borderId="0" fillId="0" fontId="4" numFmtId="9" xfId="0" applyFont="1" applyNumberFormat="1"/>
    <xf borderId="8" fillId="0" fontId="4" numFmtId="0" xfId="0" applyAlignment="1" applyBorder="1" applyFont="1">
      <alignment shrinkToFit="0" wrapText="1"/>
    </xf>
    <xf borderId="8" fillId="18" fontId="4" numFmtId="0" xfId="0" applyAlignment="1" applyBorder="1" applyFill="1" applyFont="1">
      <alignment shrinkToFit="0" wrapText="1"/>
    </xf>
    <xf borderId="8" fillId="18" fontId="4" numFmtId="0" xfId="0" applyAlignment="1" applyBorder="1" applyFont="1">
      <alignment horizontal="right" shrinkToFit="0" wrapText="1"/>
    </xf>
    <xf borderId="0" fillId="0" fontId="4" numFmtId="165" xfId="0" applyFont="1" applyNumberFormat="1"/>
    <xf borderId="0" fillId="7" fontId="4" numFmtId="169" xfId="0" applyFont="1" applyNumberFormat="1"/>
    <xf borderId="0" fillId="18" fontId="4" numFmtId="169" xfId="0" applyFont="1" applyNumberFormat="1"/>
    <xf borderId="1" fillId="16" fontId="26" numFmtId="1" xfId="0" applyBorder="1" applyFont="1" applyNumberFormat="1"/>
    <xf borderId="0" fillId="0" fontId="27" numFmtId="172" xfId="0" applyAlignment="1" applyFont="1" applyNumberFormat="1">
      <alignment readingOrder="0"/>
    </xf>
    <xf borderId="0" fillId="0" fontId="27" numFmtId="169" xfId="0" applyFont="1" applyNumberFormat="1"/>
    <xf borderId="0" fillId="0" fontId="27" numFmtId="172" xfId="0" applyFont="1" applyNumberFormat="1"/>
    <xf borderId="0" fillId="2" fontId="4" numFmtId="169" xfId="0" applyFont="1" applyNumberFormat="1"/>
    <xf borderId="8" fillId="0" fontId="4" numFmtId="0" xfId="0" applyAlignment="1" applyBorder="1" applyFont="1">
      <alignment horizontal="right" shrinkToFit="0" wrapText="1"/>
    </xf>
    <xf borderId="9" fillId="14" fontId="23" numFmtId="0" xfId="0" applyAlignment="1" applyBorder="1" applyFont="1">
      <alignment horizontal="right"/>
    </xf>
    <xf borderId="9" fillId="14" fontId="4" numFmtId="0" xfId="0" applyBorder="1" applyFont="1"/>
    <xf borderId="9" fillId="14" fontId="23" numFmtId="1" xfId="0" applyBorder="1" applyFont="1" applyNumberFormat="1"/>
    <xf borderId="9" fillId="14" fontId="23" numFmtId="171" xfId="0" applyBorder="1" applyFont="1" applyNumberFormat="1"/>
    <xf borderId="0" fillId="0" fontId="2" numFmtId="171" xfId="0" applyFont="1" applyNumberFormat="1"/>
    <xf borderId="1" fillId="19" fontId="24" numFmtId="0" xfId="0" applyAlignment="1" applyBorder="1" applyFill="1" applyFont="1">
      <alignment horizontal="center"/>
    </xf>
    <xf borderId="1" fillId="20" fontId="2" numFmtId="0" xfId="0" applyBorder="1" applyFill="1" applyFont="1"/>
    <xf borderId="0" fillId="0" fontId="2" numFmtId="1" xfId="0" applyAlignment="1" applyFont="1" applyNumberFormat="1">
      <alignment horizontal="right"/>
    </xf>
    <xf borderId="1" fillId="21" fontId="2" numFmtId="0" xfId="0" applyBorder="1" applyFill="1" applyFont="1"/>
    <xf borderId="1" fillId="22" fontId="2" numFmtId="0" xfId="0" applyBorder="1" applyFill="1" applyFont="1"/>
    <xf borderId="1" fillId="22" fontId="2" numFmtId="0" xfId="0" applyAlignment="1" applyBorder="1" applyFont="1">
      <alignment readingOrder="0"/>
    </xf>
    <xf borderId="0" fillId="0" fontId="2" numFmtId="171" xfId="0" applyAlignment="1" applyFont="1" applyNumberFormat="1">
      <alignment horizontal="right"/>
    </xf>
    <xf borderId="1" fillId="23" fontId="4" numFmtId="0" xfId="0" applyBorder="1" applyFill="1" applyFont="1"/>
    <xf borderId="0" fillId="0" fontId="4" numFmtId="171" xfId="0" applyAlignment="1" applyFont="1" applyNumberFormat="1">
      <alignment horizontal="right"/>
    </xf>
    <xf borderId="1" fillId="24" fontId="2" numFmtId="0" xfId="0" applyBorder="1" applyFill="1" applyFont="1"/>
    <xf borderId="0" fillId="0" fontId="4" numFmtId="169" xfId="0" applyAlignment="1" applyFont="1" applyNumberFormat="1">
      <alignment horizontal="left"/>
    </xf>
    <xf borderId="0" fillId="0" fontId="4" numFmtId="0" xfId="0" applyAlignment="1" applyFont="1">
      <alignment horizontal="left"/>
    </xf>
    <xf borderId="0" fillId="0" fontId="28" numFmtId="171" xfId="0" applyAlignment="1" applyFont="1" applyNumberFormat="1">
      <alignment horizontal="right"/>
    </xf>
    <xf borderId="0" fillId="0" fontId="2" numFmtId="9" xfId="0" applyFont="1" applyNumberFormat="1"/>
    <xf borderId="0" fillId="0" fontId="14" numFmtId="169" xfId="0" applyFont="1" applyNumberFormat="1"/>
    <xf borderId="1" fillId="25" fontId="2" numFmtId="0" xfId="0" applyBorder="1" applyFill="1" applyFont="1"/>
    <xf borderId="1" fillId="23" fontId="2" numFmtId="0" xfId="0" applyAlignment="1" applyBorder="1" applyFont="1">
      <alignment horizontal="center" readingOrder="0"/>
    </xf>
    <xf borderId="0" fillId="0" fontId="29" numFmtId="0" xfId="0" applyFont="1"/>
    <xf borderId="0" fillId="0" fontId="15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4" numFmtId="166" xfId="0" applyFont="1" applyNumberFormat="1"/>
    <xf borderId="1" fillId="7" fontId="13" numFmtId="0" xfId="0" applyAlignment="1" applyBorder="1" applyFont="1">
      <alignment horizontal="center" vertical="bottom"/>
    </xf>
    <xf borderId="1" fillId="3" fontId="4" numFmtId="0" xfId="0" applyAlignment="1" applyBorder="1" applyFont="1">
      <alignment vertical="bottom"/>
    </xf>
    <xf borderId="1" fillId="3" fontId="5" numFmtId="17" xfId="0" applyAlignment="1" applyBorder="1" applyFont="1" applyNumberFormat="1">
      <alignment horizontal="center" readingOrder="0" vertical="bottom"/>
    </xf>
    <xf borderId="1" fillId="3" fontId="5" numFmtId="17" xfId="0" applyAlignment="1" applyBorder="1" applyFont="1" applyNumberFormat="1">
      <alignment horizontal="center" vertical="bottom"/>
    </xf>
    <xf borderId="0" fillId="0" fontId="4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4" numFmtId="166" xfId="0" applyAlignment="1" applyFont="1" applyNumberFormat="1">
      <alignment vertical="bottom"/>
    </xf>
    <xf borderId="0" fillId="0" fontId="4" numFmtId="166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7" fontId="4" numFmtId="0" xfId="0" applyAlignment="1" applyFont="1">
      <alignment vertical="bottom"/>
    </xf>
    <xf borderId="0" fillId="0" fontId="9" numFmtId="166" xfId="0" applyAlignment="1" applyFont="1" applyNumberFormat="1">
      <alignment horizontal="center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3">
    <tableStyle count="3" pivot="0" name="Pedidos Proveedores-style">
      <tableStyleElement dxfId="1" type="headerRow"/>
      <tableStyleElement dxfId="2" type="firstRowStripe"/>
      <tableStyleElement dxfId="3" type="secondRowStripe"/>
    </tableStyle>
    <tableStyle count="3" pivot="0" name="Cotizador Compras-style">
      <tableStyleElement dxfId="1" type="headerRow"/>
      <tableStyleElement dxfId="2" type="firstRowStripe"/>
      <tableStyleElement dxfId="3" type="secondRowStripe"/>
    </tableStyle>
    <tableStyle count="3" pivot="0" name="Cotizador Compra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6" displayName="Table_1" name="Table_1" id="1">
  <tableColumns count="9">
    <tableColumn name="Fecha Pedido" id="1"/>
    <tableColumn name="Proveedor" id="2"/>
    <tableColumn name="Descripción" id="3"/>
    <tableColumn name="Unidades" id="4"/>
    <tableColumn name="Costo Unit." id="5"/>
    <tableColumn name="Total" id="6"/>
    <tableColumn name="Estado Pago" id="7"/>
    <tableColumn name="Fecha Pago" id="8"/>
    <tableColumn name="Notas" id="9"/>
  </tableColumns>
  <tableStyleInfo name="Pedidos Proveedores-style" showColumnStripes="0" showFirstColumn="1" showLastColumn="1" showRowStripes="1"/>
</table>
</file>

<file path=xl/tables/table2.xml><?xml version="1.0" encoding="utf-8"?>
<table xmlns="http://schemas.openxmlformats.org/spreadsheetml/2006/main" ref="A4:J21" displayName="Table_2" name="Table_2" id="2">
  <tableColumns count="10">
    <tableColumn name="Tipo Producto" id="1"/>
    <tableColumn name="Proveedor" id="2"/>
    <tableColumn name="Costo Base" id="3"/>
    <tableColumn name="Estampado Pecho" id="4"/>
    <tableColumn name="Estampado Espalda" id="5"/>
    <tableColumn name="Etiquetas" id="6"/>
    <tableColumn name="Empaque" id="7"/>
    <tableColumn name="Precio Venta Basica" id="8"/>
    <tableColumn name="Precio Venta Estampado Full" id="9"/>
    <tableColumn name="Precio Venta Estampado Pecho" id="10"/>
  </tableColumns>
  <tableStyleInfo name="Cotizador Compras-style" showColumnStripes="0" showFirstColumn="1" showLastColumn="1" showRowStripes="1"/>
</table>
</file>

<file path=xl/tables/table3.xml><?xml version="1.0" encoding="utf-8"?>
<table xmlns="http://schemas.openxmlformats.org/spreadsheetml/2006/main" ref="O4:R20" displayName="Table_3" name="Table_3" id="3">
  <tableColumns count="4">
    <tableColumn name="Productos" id="1"/>
    <tableColumn name="Tallas" id="2"/>
    <tableColumn name="Colores" id="3"/>
    <tableColumn name="Estampado" id="4"/>
  </tableColumns>
  <tableStyleInfo name="Cotizador Compra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orvann.co/" TargetMode="External"/><Relationship Id="rId2" Type="http://schemas.openxmlformats.org/officeDocument/2006/relationships/hyperlink" Target="http://orvann.co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pageSetUpPr/>
  </sheetPr>
  <sheetViews>
    <sheetView workbookViewId="0"/>
  </sheetViews>
  <sheetFormatPr customHeight="1" defaultColWidth="14.43" defaultRowHeight="15.0"/>
  <cols>
    <col customWidth="1" min="1" max="1" width="46.71"/>
    <col customWidth="1" min="2" max="2" width="18.0"/>
    <col customWidth="1" min="3" max="3" width="106.14"/>
    <col customWidth="1" min="4" max="4" width="94.57"/>
    <col customWidth="1" min="5" max="5" width="8.71"/>
    <col customWidth="1" min="6" max="6" width="23.0"/>
    <col customWidth="1" min="7" max="7" width="10.86"/>
    <col customWidth="1" min="8" max="8" width="14.43"/>
    <col customWidth="1" min="9" max="26" width="8.71"/>
  </cols>
  <sheetData>
    <row r="1" ht="21.75" customHeight="1">
      <c r="A1" s="1" t="s">
        <v>0</v>
      </c>
      <c r="D1" s="2" t="s">
        <v>1</v>
      </c>
      <c r="F1" s="2" t="s">
        <v>2</v>
      </c>
    </row>
    <row r="2" ht="14.25" customHeight="1">
      <c r="A2" s="3" t="s">
        <v>3</v>
      </c>
      <c r="B2" s="4">
        <v>46067.0</v>
      </c>
      <c r="D2" s="5" t="s">
        <v>4</v>
      </c>
      <c r="F2" s="6" t="s">
        <v>5</v>
      </c>
      <c r="G2" s="7" t="s">
        <v>6</v>
      </c>
      <c r="H2" s="6" t="s">
        <v>7</v>
      </c>
    </row>
    <row r="3" ht="14.25" customHeight="1">
      <c r="D3" s="5" t="s">
        <v>8</v>
      </c>
      <c r="F3" s="8" t="s">
        <v>9</v>
      </c>
      <c r="G3" s="9">
        <v>150000.0</v>
      </c>
      <c r="H3" s="8"/>
    </row>
    <row r="4" ht="14.25" customHeight="1">
      <c r="A4" s="10" t="s">
        <v>10</v>
      </c>
      <c r="D4" s="5" t="s">
        <v>11</v>
      </c>
      <c r="F4" s="8" t="s">
        <v>12</v>
      </c>
      <c r="G4" s="9">
        <v>80000.0</v>
      </c>
      <c r="H4" s="8"/>
    </row>
    <row r="5" ht="14.25" customHeight="1">
      <c r="A5" s="5" t="s">
        <v>13</v>
      </c>
      <c r="B5" s="11">
        <f>Inventario!F2</f>
        <v>9858000</v>
      </c>
      <c r="D5" s="12" t="s">
        <v>14</v>
      </c>
      <c r="F5" s="8" t="s">
        <v>15</v>
      </c>
      <c r="G5" s="9">
        <v>250000.0</v>
      </c>
      <c r="H5" s="8"/>
    </row>
    <row r="6" ht="14.25" customHeight="1">
      <c r="A6" s="5" t="s">
        <v>16</v>
      </c>
      <c r="B6" s="11">
        <f>Inventario!G2</f>
        <v>19460000</v>
      </c>
      <c r="D6" s="5" t="s">
        <v>17</v>
      </c>
      <c r="F6" s="8" t="s">
        <v>18</v>
      </c>
      <c r="G6" s="13"/>
      <c r="H6" s="8" t="s">
        <v>19</v>
      </c>
    </row>
    <row r="7" ht="14.25" customHeight="1">
      <c r="A7" s="5" t="s">
        <v>20</v>
      </c>
      <c r="B7" s="11">
        <f>SUMIF(Ventas!A:A,"&gt;="&amp;DATE(YEAR(TODAY()),MONTH(TODAY()),1),Ventas!E:E)</f>
        <v>320000</v>
      </c>
      <c r="D7" s="5" t="s">
        <v>21</v>
      </c>
      <c r="F7" s="8" t="s">
        <v>22</v>
      </c>
      <c r="G7" s="9">
        <v>50000.0</v>
      </c>
      <c r="H7" s="8"/>
    </row>
    <row r="8" ht="14.25" customHeight="1">
      <c r="A8" s="5" t="s">
        <v>23</v>
      </c>
      <c r="B8" s="11">
        <f>SUMIF(Gastos!A:A,"&gt;="&amp;DATE(YEAR(TODAY()),MONTH(TODAY()),1),Gastos!C:C)</f>
        <v>4791800</v>
      </c>
      <c r="D8" s="5" t="s">
        <v>24</v>
      </c>
      <c r="F8" s="8" t="s">
        <v>25</v>
      </c>
      <c r="G8" s="9">
        <v>0.0</v>
      </c>
      <c r="H8" s="8"/>
    </row>
    <row r="9" ht="14.25" customHeight="1">
      <c r="A9" s="5" t="s">
        <v>26</v>
      </c>
      <c r="B9" s="11">
        <f>SUMIF('Pedidos Proveedores'!G:G,"Pendiente",'Pedidos Proveedores'!F:F)</f>
        <v>9618000</v>
      </c>
      <c r="D9" s="5" t="s">
        <v>27</v>
      </c>
      <c r="F9" s="8" t="s">
        <v>28</v>
      </c>
      <c r="G9" s="9">
        <v>0.0</v>
      </c>
      <c r="H9" s="8"/>
    </row>
    <row r="10" ht="14.25" customHeight="1">
      <c r="A10" s="5" t="s">
        <v>29</v>
      </c>
      <c r="B10" s="11">
        <f>B7-SUMIF(Ventas!A:A,"&gt;="&amp;DATE(YEAR(TODAY()),MONTH(TODAY()),1),Ventas!D:D)-B8</f>
        <v>-4631800</v>
      </c>
      <c r="D10" s="5" t="s">
        <v>30</v>
      </c>
      <c r="F10" s="8" t="s">
        <v>31</v>
      </c>
      <c r="G10" s="9">
        <v>250000.0</v>
      </c>
      <c r="H10" s="8"/>
    </row>
    <row r="11" ht="14.25" customHeight="1">
      <c r="D11" s="5" t="s">
        <v>32</v>
      </c>
      <c r="F11" s="8" t="s">
        <v>33</v>
      </c>
      <c r="G11" s="9">
        <v>120000.0</v>
      </c>
      <c r="H11" s="8"/>
    </row>
    <row r="12" ht="14.25" customHeight="1">
      <c r="D12" s="12" t="s">
        <v>34</v>
      </c>
      <c r="F12" s="8" t="s">
        <v>35</v>
      </c>
      <c r="G12" s="9">
        <v>30000.0</v>
      </c>
      <c r="H12" s="8"/>
    </row>
    <row r="13" ht="14.25" customHeight="1">
      <c r="A13" s="10" t="s">
        <v>36</v>
      </c>
      <c r="F13" s="8" t="s">
        <v>37</v>
      </c>
      <c r="G13" s="9">
        <v>120000.0</v>
      </c>
      <c r="H13" s="8"/>
    </row>
    <row r="14" ht="14.25" customHeight="1">
      <c r="A14" s="5" t="s">
        <v>38</v>
      </c>
      <c r="B14" s="5">
        <f>COUNTIF(Inventario!G:G,"&lt;3")-1</f>
        <v>79</v>
      </c>
      <c r="D14" s="5"/>
      <c r="F14" s="8" t="s">
        <v>39</v>
      </c>
      <c r="G14" s="9">
        <v>120000.0</v>
      </c>
      <c r="H14" s="8"/>
    </row>
    <row r="15" ht="14.25" customHeight="1">
      <c r="A15" s="5" t="s">
        <v>40</v>
      </c>
      <c r="B15" s="5">
        <f>COUNTIF('Pedidos Proveedores'!G:G,"Pendiente")</f>
        <v>10</v>
      </c>
      <c r="F15" s="8" t="s">
        <v>41</v>
      </c>
      <c r="G15" s="9">
        <v>300000.0</v>
      </c>
      <c r="H15" s="8"/>
    </row>
    <row r="16" ht="14.25" customHeight="1">
      <c r="F16" s="8" t="s">
        <v>42</v>
      </c>
      <c r="G16" s="9">
        <v>350000.0</v>
      </c>
      <c r="H16" s="8"/>
    </row>
    <row r="17" ht="14.25" customHeight="1">
      <c r="F17" s="8" t="s">
        <v>43</v>
      </c>
      <c r="G17" s="9">
        <v>40000.0</v>
      </c>
      <c r="H17" s="8"/>
    </row>
    <row r="18" ht="14.25" customHeight="1">
      <c r="A18" s="10" t="s">
        <v>44</v>
      </c>
      <c r="F18" s="8" t="s">
        <v>45</v>
      </c>
      <c r="G18" s="9">
        <v>100000.0</v>
      </c>
      <c r="H18" s="8"/>
    </row>
    <row r="19" ht="14.25" customHeight="1">
      <c r="D19" s="2" t="s">
        <v>46</v>
      </c>
      <c r="F19" s="8" t="s">
        <v>47</v>
      </c>
      <c r="G19" s="9">
        <v>60000.0</v>
      </c>
      <c r="H19" s="8"/>
    </row>
    <row r="20" ht="14.25" customHeight="1">
      <c r="A20" s="5" t="s">
        <v>48</v>
      </c>
      <c r="B20" s="14">
        <f>IFERROR(SUMIF(Ventas!A:A,"&gt;="&amp;DATE(YEAR(TODAY()),MONTH(TODAY()),1),Ventas!E:E)/COUNTIF(Ventas!A:A,"&gt;="&amp;DATE(YEAR(TODAY()),MONTH(TODAY()),1)),0)</f>
        <v>160000</v>
      </c>
      <c r="D20" s="5" t="s">
        <v>49</v>
      </c>
      <c r="F20" s="8" t="s">
        <v>50</v>
      </c>
      <c r="G20" s="9">
        <v>100000.0</v>
      </c>
      <c r="H20" s="8"/>
    </row>
    <row r="21" ht="14.25" customHeight="1">
      <c r="A21" s="5" t="s">
        <v>51</v>
      </c>
      <c r="B21" s="5">
        <f>COUNTIF(Ventas!A:A,"&gt;="&amp;DATE(YEAR(TODAY()),MONTH(TODAY()),1))</f>
        <v>2</v>
      </c>
      <c r="D21" s="5" t="s">
        <v>52</v>
      </c>
      <c r="F21" s="8" t="s">
        <v>53</v>
      </c>
      <c r="G21" s="9">
        <v>500000.0</v>
      </c>
      <c r="H21" s="8"/>
    </row>
    <row r="22" ht="14.25" customHeight="1">
      <c r="A22" s="5" t="s">
        <v>54</v>
      </c>
      <c r="B22" s="15">
        <f>IFERROR((SUMIF(Ventas!A:A,"&gt;="&amp;DATE(YEAR(TODAY()),MONTH(TODAY()),1),Ventas!E:E)-SUMIF(Ventas!A:A,"&gt;="&amp;DATE(YEAR(TODAY()),MONTH(TODAY()),1),Ventas!D:D))/SUMIF(Ventas!A:A,"&gt;="&amp;DATE(YEAR(TODAY()),MONTH(TODAY()),1),Ventas!E:E),0)</f>
        <v>0.5</v>
      </c>
      <c r="D22" s="5" t="s">
        <v>55</v>
      </c>
      <c r="F22" s="8"/>
      <c r="G22" s="13"/>
      <c r="H22" s="8"/>
    </row>
    <row r="23" ht="14.25" customHeight="1">
      <c r="A23" s="5" t="s">
        <v>56</v>
      </c>
      <c r="B23" s="5">
        <f>IFERROR(COUNTIF(Ventas!A:A,"&gt;="&amp;DATE(YEAR(TODAY()),MONTH(TODAY()),1))/Inventario!E2,0)</f>
        <v>0.01086956522</v>
      </c>
      <c r="C23" s="16" t="s">
        <v>57</v>
      </c>
      <c r="D23" s="5" t="s">
        <v>58</v>
      </c>
      <c r="F23" s="8" t="s">
        <v>59</v>
      </c>
      <c r="G23" s="9">
        <v>30000.0</v>
      </c>
      <c r="H23" s="8"/>
    </row>
    <row r="24" ht="14.25" customHeight="1">
      <c r="A24" s="5" t="s">
        <v>60</v>
      </c>
      <c r="B24" s="5">
        <f>IFERROR(Inventario!E2/(COUNTIF(Ventas!A:A,"&gt;="&amp;DATE(YEAR(TODAY()),MONTH(TODAY()),1))/30),0)</f>
        <v>2760</v>
      </c>
      <c r="C24" s="16" t="s">
        <v>61</v>
      </c>
      <c r="D24" s="5" t="s">
        <v>62</v>
      </c>
      <c r="F24" s="8" t="s">
        <v>63</v>
      </c>
      <c r="G24" s="9">
        <v>250000.0</v>
      </c>
      <c r="H24" s="8" t="s">
        <v>19</v>
      </c>
    </row>
    <row r="25" ht="14.25" customHeight="1">
      <c r="D25" s="5" t="s">
        <v>64</v>
      </c>
      <c r="F25" s="8" t="s">
        <v>65</v>
      </c>
      <c r="G25" s="9">
        <v>150000.0</v>
      </c>
      <c r="H25" s="8"/>
    </row>
    <row r="26" ht="14.25" customHeight="1">
      <c r="D26" s="5" t="s">
        <v>66</v>
      </c>
      <c r="F26" s="8" t="s">
        <v>67</v>
      </c>
      <c r="G26" s="9">
        <v>50000.0</v>
      </c>
      <c r="H26" s="8"/>
    </row>
    <row r="27" ht="14.25" customHeight="1">
      <c r="A27" s="10" t="s">
        <v>68</v>
      </c>
      <c r="D27" s="5" t="s">
        <v>69</v>
      </c>
      <c r="F27" s="8" t="s">
        <v>70</v>
      </c>
      <c r="G27" s="9">
        <v>50000.0</v>
      </c>
      <c r="H27" s="8"/>
    </row>
    <row r="28" ht="14.25" customHeight="1">
      <c r="A28" s="5" t="s">
        <v>71</v>
      </c>
      <c r="B28" s="14">
        <f>'Costos Fijos'!B12</f>
        <v>1914900</v>
      </c>
      <c r="D28" s="5" t="s">
        <v>72</v>
      </c>
      <c r="F28" s="8" t="s">
        <v>73</v>
      </c>
      <c r="G28" s="9">
        <v>30000.0</v>
      </c>
      <c r="H28" s="8"/>
    </row>
    <row r="29" ht="14.25" customHeight="1">
      <c r="A29" s="5" t="s">
        <v>74</v>
      </c>
      <c r="B29" s="15">
        <f>IFERROR(AVERAGE(Inventario!E5:E212),0)</f>
        <v>0.5192743764</v>
      </c>
      <c r="D29" s="5" t="s">
        <v>75</v>
      </c>
      <c r="F29" s="8" t="s">
        <v>76</v>
      </c>
      <c r="G29" s="9">
        <v>150000.0</v>
      </c>
      <c r="H29" s="8"/>
    </row>
    <row r="30" ht="14.25" customHeight="1">
      <c r="A30" s="5" t="s">
        <v>77</v>
      </c>
      <c r="B30" s="14">
        <f>IFERROR(AVERAGE(Inventario!D5:D212),0)</f>
        <v>107806.1224</v>
      </c>
      <c r="D30" s="5" t="s">
        <v>78</v>
      </c>
      <c r="F30" s="8"/>
      <c r="G30" s="13"/>
      <c r="H30" s="8"/>
    </row>
    <row r="31" ht="14.25" customHeight="1">
      <c r="A31" s="5" t="s">
        <v>79</v>
      </c>
      <c r="B31" s="5">
        <f>IFERROR(ROUNDUP(B28/(B30*B29),0),0)</f>
        <v>35</v>
      </c>
      <c r="D31" s="5" t="s">
        <v>80</v>
      </c>
      <c r="F31" s="17" t="s">
        <v>81</v>
      </c>
      <c r="G31" s="18">
        <f>+SUM(G3:G29)</f>
        <v>3330000</v>
      </c>
      <c r="H31" s="8"/>
    </row>
    <row r="32" ht="14.25" customHeight="1">
      <c r="A32" s="5" t="s">
        <v>82</v>
      </c>
      <c r="B32" s="5">
        <f>ROUNDUP(B31/26,0)</f>
        <v>2</v>
      </c>
      <c r="D32" s="5" t="s">
        <v>83</v>
      </c>
      <c r="F32" s="8"/>
      <c r="G32" s="13"/>
      <c r="H32" s="8"/>
    </row>
    <row r="33" ht="14.25" customHeight="1">
      <c r="D33" s="5" t="s">
        <v>84</v>
      </c>
      <c r="F33" s="8"/>
      <c r="G33" s="13"/>
      <c r="H33" s="8"/>
    </row>
    <row r="34" ht="14.25" customHeight="1">
      <c r="A34" s="19" t="s">
        <v>10</v>
      </c>
      <c r="D34" s="5" t="s">
        <v>85</v>
      </c>
      <c r="F34" s="8"/>
      <c r="G34" s="13"/>
      <c r="H34" s="8"/>
    </row>
    <row r="35" ht="14.25" customHeight="1">
      <c r="A35" s="8" t="s">
        <v>86</v>
      </c>
      <c r="D35" s="5" t="s">
        <v>87</v>
      </c>
      <c r="F35" s="8"/>
      <c r="G35" s="13"/>
      <c r="H35" s="8"/>
    </row>
    <row r="36" ht="14.25" customHeight="1">
      <c r="A36" s="8" t="s">
        <v>88</v>
      </c>
      <c r="D36" s="5" t="s">
        <v>89</v>
      </c>
      <c r="F36" s="8"/>
      <c r="G36" s="13"/>
      <c r="H36" s="8"/>
    </row>
    <row r="37" ht="14.25" customHeight="1">
      <c r="D37" s="5" t="s">
        <v>90</v>
      </c>
      <c r="F37" s="8"/>
      <c r="G37" s="13"/>
      <c r="H37" s="8"/>
    </row>
    <row r="38" ht="14.25" customHeight="1">
      <c r="A38" s="20" t="s">
        <v>91</v>
      </c>
      <c r="B38" s="8"/>
      <c r="C38" s="8"/>
      <c r="D38" s="5" t="s">
        <v>92</v>
      </c>
      <c r="F38" s="8"/>
      <c r="G38" s="13"/>
      <c r="H38" s="8"/>
    </row>
    <row r="39" ht="14.25" customHeight="1">
      <c r="A39" s="21" t="s">
        <v>93</v>
      </c>
      <c r="B39" s="21" t="s">
        <v>94</v>
      </c>
      <c r="C39" s="21" t="s">
        <v>95</v>
      </c>
      <c r="D39" s="5" t="s">
        <v>96</v>
      </c>
      <c r="F39" s="8"/>
      <c r="G39" s="13"/>
      <c r="H39" s="8"/>
    </row>
    <row r="40" ht="14.25" customHeight="1">
      <c r="A40" s="8" t="s">
        <v>97</v>
      </c>
      <c r="B40" s="22">
        <f>4.5*5</f>
        <v>22.5</v>
      </c>
      <c r="C40" s="8" t="s">
        <v>98</v>
      </c>
      <c r="D40" s="5" t="s">
        <v>99</v>
      </c>
      <c r="F40" s="8"/>
      <c r="G40" s="13"/>
      <c r="H40" s="8"/>
    </row>
    <row r="41" ht="14.25" customHeight="1">
      <c r="A41" s="8" t="s">
        <v>100</v>
      </c>
      <c r="B41" s="22">
        <f>B40</f>
        <v>22.5</v>
      </c>
      <c r="C41" s="8" t="s">
        <v>101</v>
      </c>
      <c r="D41" s="5" t="s">
        <v>102</v>
      </c>
      <c r="F41" s="8"/>
      <c r="G41" s="13"/>
      <c r="H41" s="8"/>
    </row>
    <row r="42" ht="14.25" customHeight="1">
      <c r="A42" s="23" t="s">
        <v>103</v>
      </c>
      <c r="B42" s="22">
        <f>9*2</f>
        <v>18</v>
      </c>
      <c r="C42" s="8" t="s">
        <v>104</v>
      </c>
      <c r="D42" s="5" t="s">
        <v>105</v>
      </c>
      <c r="F42" s="8"/>
      <c r="G42" s="13"/>
      <c r="H42" s="8"/>
    </row>
    <row r="43" ht="14.25" customHeight="1">
      <c r="D43" s="5" t="s">
        <v>106</v>
      </c>
      <c r="F43" s="8"/>
      <c r="G43" s="13"/>
      <c r="H43" s="8"/>
    </row>
    <row r="44" ht="14.25" customHeight="1">
      <c r="D44" s="5" t="s">
        <v>107</v>
      </c>
      <c r="F44" s="8"/>
      <c r="G44" s="13"/>
      <c r="H44" s="8"/>
    </row>
    <row r="45" ht="14.25" customHeight="1">
      <c r="D45" s="5" t="s">
        <v>108</v>
      </c>
      <c r="F45" s="8"/>
      <c r="G45" s="13"/>
      <c r="H45" s="8"/>
    </row>
    <row r="46" ht="14.25" customHeight="1">
      <c r="D46" s="5" t="s">
        <v>109</v>
      </c>
      <c r="F46" s="8"/>
      <c r="G46" s="13"/>
      <c r="H46" s="8"/>
    </row>
    <row r="47" ht="14.25" customHeight="1">
      <c r="D47" s="5" t="s">
        <v>110</v>
      </c>
      <c r="F47" s="8"/>
      <c r="G47" s="13"/>
      <c r="H47" s="8"/>
    </row>
    <row r="48" ht="14.25" customHeight="1">
      <c r="D48" s="5" t="s">
        <v>111</v>
      </c>
      <c r="F48" s="8"/>
      <c r="G48" s="13"/>
      <c r="H48" s="8"/>
    </row>
    <row r="49" ht="14.25" customHeight="1">
      <c r="D49" s="5" t="s">
        <v>112</v>
      </c>
      <c r="F49" s="8"/>
      <c r="G49" s="13"/>
      <c r="H49" s="8"/>
    </row>
    <row r="50" ht="14.25" customHeight="1">
      <c r="D50" s="5" t="s">
        <v>113</v>
      </c>
      <c r="F50" s="8"/>
      <c r="G50" s="13"/>
      <c r="H50" s="8"/>
    </row>
    <row r="51" ht="14.25" customHeight="1">
      <c r="D51" s="5" t="s">
        <v>114</v>
      </c>
      <c r="F51" s="8"/>
      <c r="G51" s="13"/>
      <c r="H51" s="8"/>
    </row>
    <row r="52" ht="14.25" customHeight="1">
      <c r="D52" s="5" t="s">
        <v>115</v>
      </c>
      <c r="F52" s="8"/>
      <c r="G52" s="13"/>
      <c r="H52" s="8"/>
    </row>
    <row r="53" ht="14.25" customHeight="1">
      <c r="D53" s="5" t="s">
        <v>116</v>
      </c>
      <c r="F53" s="8"/>
      <c r="G53" s="13"/>
      <c r="H53" s="8"/>
    </row>
    <row r="54" ht="14.25" customHeight="1">
      <c r="D54" s="5" t="s">
        <v>117</v>
      </c>
      <c r="F54" s="8"/>
      <c r="G54" s="13"/>
      <c r="H54" s="8"/>
    </row>
    <row r="55" ht="14.25" customHeight="1">
      <c r="D55" s="5" t="s">
        <v>118</v>
      </c>
      <c r="F55" s="8"/>
      <c r="G55" s="13"/>
      <c r="H55" s="8"/>
    </row>
    <row r="56" ht="14.25" customHeight="1">
      <c r="D56" s="5" t="s">
        <v>119</v>
      </c>
      <c r="F56" s="8"/>
      <c r="G56" s="13"/>
      <c r="H56" s="8"/>
    </row>
    <row r="57" ht="14.25" customHeight="1">
      <c r="D57" s="5" t="s">
        <v>120</v>
      </c>
      <c r="F57" s="8"/>
      <c r="G57" s="13"/>
      <c r="H57" s="8"/>
    </row>
    <row r="58" ht="14.25" customHeight="1">
      <c r="D58" s="5" t="s">
        <v>121</v>
      </c>
      <c r="F58" s="8"/>
      <c r="G58" s="13"/>
      <c r="H58" s="8"/>
    </row>
    <row r="59" ht="14.25" customHeight="1">
      <c r="D59" s="5" t="s">
        <v>122</v>
      </c>
      <c r="F59" s="8"/>
      <c r="G59" s="13"/>
      <c r="H59" s="8"/>
    </row>
    <row r="60" ht="14.25" customHeight="1">
      <c r="D60" s="5" t="s">
        <v>123</v>
      </c>
      <c r="F60" s="8"/>
      <c r="G60" s="13"/>
      <c r="H60" s="8"/>
    </row>
    <row r="61" ht="14.25" customHeight="1">
      <c r="D61" s="5" t="s">
        <v>124</v>
      </c>
      <c r="F61" s="8"/>
      <c r="G61" s="13"/>
      <c r="H61" s="8"/>
    </row>
    <row r="62" ht="14.25" customHeight="1">
      <c r="D62" s="5" t="s">
        <v>125</v>
      </c>
      <c r="F62" s="8"/>
      <c r="G62" s="13"/>
      <c r="H62" s="8"/>
    </row>
    <row r="63" ht="14.25" customHeight="1">
      <c r="D63" s="5" t="s">
        <v>126</v>
      </c>
      <c r="F63" s="8"/>
      <c r="G63" s="13"/>
      <c r="H63" s="8"/>
    </row>
    <row r="64" ht="14.25" customHeight="1">
      <c r="D64" s="5" t="s">
        <v>127</v>
      </c>
      <c r="F64" s="8"/>
      <c r="G64" s="13"/>
      <c r="H64" s="8"/>
    </row>
    <row r="65" ht="14.25" customHeight="1">
      <c r="D65" s="5" t="s">
        <v>128</v>
      </c>
      <c r="F65" s="8"/>
      <c r="G65" s="13"/>
      <c r="H65" s="8"/>
    </row>
    <row r="66" ht="14.25" customHeight="1">
      <c r="D66" s="5" t="s">
        <v>129</v>
      </c>
      <c r="F66" s="8"/>
      <c r="G66" s="13"/>
      <c r="H66" s="8"/>
    </row>
    <row r="67" ht="14.25" customHeight="1">
      <c r="D67" s="5" t="s">
        <v>130</v>
      </c>
      <c r="F67" s="8"/>
      <c r="G67" s="13"/>
      <c r="H67" s="8"/>
    </row>
    <row r="68" ht="14.25" customHeight="1">
      <c r="D68" s="5" t="s">
        <v>131</v>
      </c>
      <c r="F68" s="8"/>
      <c r="G68" s="13"/>
      <c r="H68" s="8"/>
    </row>
    <row r="69" ht="14.25" customHeight="1">
      <c r="D69" s="5" t="s">
        <v>132</v>
      </c>
      <c r="F69" s="8"/>
      <c r="G69" s="13"/>
      <c r="H69" s="8"/>
    </row>
    <row r="70" ht="14.25" customHeight="1">
      <c r="D70" s="5" t="s">
        <v>133</v>
      </c>
      <c r="F70" s="8"/>
      <c r="G70" s="13"/>
      <c r="H70" s="8"/>
    </row>
    <row r="71" ht="14.25" customHeight="1">
      <c r="D71" s="5" t="s">
        <v>134</v>
      </c>
      <c r="F71" s="8"/>
      <c r="G71" s="13"/>
      <c r="H71" s="8"/>
    </row>
    <row r="72" ht="14.25" customHeight="1">
      <c r="D72" s="5" t="s">
        <v>135</v>
      </c>
      <c r="F72" s="8"/>
      <c r="G72" s="13"/>
      <c r="H72" s="8"/>
    </row>
    <row r="73" ht="14.25" customHeight="1">
      <c r="D73" s="5" t="s">
        <v>136</v>
      </c>
      <c r="F73" s="8"/>
      <c r="G73" s="13"/>
      <c r="H73" s="8"/>
    </row>
    <row r="74" ht="14.25" customHeight="1">
      <c r="D74" s="5" t="s">
        <v>137</v>
      </c>
      <c r="F74" s="8"/>
      <c r="G74" s="13"/>
      <c r="H74" s="8"/>
    </row>
    <row r="75" ht="14.25" customHeight="1">
      <c r="D75" s="5" t="s">
        <v>138</v>
      </c>
      <c r="F75" s="8"/>
      <c r="G75" s="13"/>
      <c r="H75" s="8"/>
    </row>
    <row r="76" ht="14.25" customHeight="1">
      <c r="D76" s="5" t="s">
        <v>139</v>
      </c>
      <c r="F76" s="8"/>
      <c r="G76" s="13"/>
      <c r="H76" s="8"/>
    </row>
    <row r="77" ht="14.25" customHeight="1">
      <c r="D77" s="5" t="s">
        <v>140</v>
      </c>
      <c r="F77" s="8"/>
      <c r="G77" s="13"/>
      <c r="H77" s="8"/>
    </row>
    <row r="78" ht="14.25" customHeight="1">
      <c r="D78" s="5" t="s">
        <v>141</v>
      </c>
      <c r="F78" s="8"/>
      <c r="G78" s="13"/>
      <c r="H78" s="8"/>
    </row>
    <row r="79" ht="14.25" customHeight="1">
      <c r="D79" s="5" t="s">
        <v>142</v>
      </c>
      <c r="F79" s="8"/>
      <c r="G79" s="13"/>
      <c r="H79" s="8"/>
    </row>
    <row r="80" ht="14.25" customHeight="1">
      <c r="D80" s="5" t="s">
        <v>143</v>
      </c>
      <c r="F80" s="8"/>
      <c r="G80" s="13"/>
      <c r="H80" s="8"/>
    </row>
    <row r="81" ht="14.25" customHeight="1">
      <c r="D81" s="5" t="s">
        <v>144</v>
      </c>
      <c r="F81" s="8"/>
      <c r="G81" s="13"/>
      <c r="H81" s="8"/>
    </row>
    <row r="82" ht="14.25" customHeight="1">
      <c r="D82" s="5" t="s">
        <v>145</v>
      </c>
      <c r="F82" s="8"/>
      <c r="G82" s="13"/>
      <c r="H82" s="8"/>
    </row>
    <row r="83" ht="14.25" customHeight="1">
      <c r="D83" s="5" t="s">
        <v>146</v>
      </c>
      <c r="F83" s="8"/>
      <c r="G83" s="13"/>
      <c r="H83" s="8"/>
    </row>
    <row r="84" ht="14.25" customHeight="1">
      <c r="D84" s="5" t="s">
        <v>147</v>
      </c>
      <c r="F84" s="8"/>
      <c r="G84" s="13"/>
      <c r="H84" s="8"/>
    </row>
    <row r="85" ht="14.25" customHeight="1">
      <c r="D85" s="5" t="s">
        <v>148</v>
      </c>
      <c r="F85" s="8"/>
      <c r="G85" s="13"/>
      <c r="H85" s="8"/>
    </row>
    <row r="86" ht="14.25" customHeight="1">
      <c r="D86" s="5" t="s">
        <v>149</v>
      </c>
      <c r="F86" s="8"/>
      <c r="G86" s="13"/>
      <c r="H86" s="8"/>
    </row>
    <row r="87" ht="14.25" customHeight="1">
      <c r="D87" s="5" t="s">
        <v>150</v>
      </c>
      <c r="F87" s="8"/>
      <c r="G87" s="13"/>
      <c r="H87" s="8"/>
    </row>
    <row r="88" ht="14.25" customHeight="1">
      <c r="D88" s="5" t="s">
        <v>151</v>
      </c>
      <c r="F88" s="8"/>
      <c r="G88" s="13"/>
      <c r="H88" s="8"/>
    </row>
    <row r="89" ht="14.25" customHeight="1">
      <c r="D89" s="5" t="s">
        <v>152</v>
      </c>
      <c r="F89" s="8"/>
      <c r="G89" s="13"/>
      <c r="H89" s="8"/>
    </row>
    <row r="90" ht="14.25" customHeight="1">
      <c r="D90" s="5" t="s">
        <v>153</v>
      </c>
      <c r="F90" s="8"/>
      <c r="G90" s="13"/>
      <c r="H90" s="8"/>
    </row>
    <row r="91" ht="14.25" customHeight="1">
      <c r="D91" s="5" t="s">
        <v>154</v>
      </c>
      <c r="F91" s="8"/>
      <c r="G91" s="13"/>
      <c r="H91" s="8"/>
    </row>
    <row r="92" ht="14.25" customHeight="1">
      <c r="D92" s="5" t="s">
        <v>155</v>
      </c>
      <c r="F92" s="8"/>
      <c r="G92" s="13"/>
      <c r="H92" s="8"/>
    </row>
    <row r="93" ht="14.25" customHeight="1">
      <c r="D93" s="5" t="s">
        <v>156</v>
      </c>
      <c r="F93" s="8"/>
      <c r="G93" s="13"/>
      <c r="H93" s="8"/>
    </row>
    <row r="94" ht="14.25" customHeight="1">
      <c r="D94" s="5" t="s">
        <v>157</v>
      </c>
      <c r="F94" s="8"/>
      <c r="G94" s="13"/>
      <c r="H94" s="8"/>
    </row>
    <row r="95" ht="14.25" customHeight="1">
      <c r="D95" s="5" t="s">
        <v>158</v>
      </c>
      <c r="F95" s="8"/>
      <c r="G95" s="13"/>
      <c r="H95" s="8"/>
    </row>
    <row r="96" ht="14.25" customHeight="1">
      <c r="D96" s="5" t="s">
        <v>159</v>
      </c>
      <c r="F96" s="8"/>
      <c r="G96" s="13"/>
      <c r="H96" s="8"/>
    </row>
    <row r="97" ht="14.25" customHeight="1">
      <c r="D97" s="5" t="s">
        <v>160</v>
      </c>
      <c r="F97" s="8"/>
      <c r="G97" s="13"/>
      <c r="H97" s="8"/>
    </row>
    <row r="98" ht="14.25" customHeight="1">
      <c r="D98" s="5" t="s">
        <v>161</v>
      </c>
      <c r="F98" s="8"/>
      <c r="G98" s="13"/>
      <c r="H98" s="8"/>
    </row>
    <row r="99" ht="14.25" customHeight="1">
      <c r="D99" s="5" t="s">
        <v>162</v>
      </c>
      <c r="F99" s="8"/>
      <c r="G99" s="13"/>
      <c r="H99" s="8"/>
    </row>
    <row r="100" ht="14.25" customHeight="1">
      <c r="D100" s="5" t="s">
        <v>163</v>
      </c>
      <c r="F100" s="8"/>
      <c r="G100" s="13"/>
      <c r="H100" s="8"/>
    </row>
    <row r="101" ht="14.25" customHeight="1">
      <c r="D101" s="5" t="s">
        <v>164</v>
      </c>
      <c r="F101" s="8"/>
      <c r="G101" s="13"/>
      <c r="H101" s="8"/>
    </row>
    <row r="102" ht="14.25" customHeight="1">
      <c r="D102" s="5" t="s">
        <v>165</v>
      </c>
      <c r="F102" s="8"/>
      <c r="G102" s="13"/>
      <c r="H102" s="8"/>
    </row>
    <row r="103" ht="14.25" customHeight="1">
      <c r="D103" s="5" t="s">
        <v>166</v>
      </c>
      <c r="F103" s="8"/>
      <c r="G103" s="13"/>
      <c r="H103" s="8"/>
    </row>
    <row r="104" ht="14.25" customHeight="1">
      <c r="D104" s="5" t="s">
        <v>167</v>
      </c>
      <c r="F104" s="8"/>
      <c r="G104" s="13"/>
      <c r="H104" s="8"/>
    </row>
    <row r="105" ht="14.25" customHeight="1">
      <c r="D105" s="5" t="s">
        <v>168</v>
      </c>
      <c r="F105" s="8"/>
      <c r="G105" s="13"/>
      <c r="H105" s="8"/>
    </row>
    <row r="106" ht="14.25" customHeight="1">
      <c r="D106" s="5" t="s">
        <v>169</v>
      </c>
      <c r="F106" s="8"/>
      <c r="G106" s="13"/>
      <c r="H106" s="8"/>
    </row>
    <row r="107" ht="14.25" customHeight="1">
      <c r="D107" s="5" t="s">
        <v>170</v>
      </c>
      <c r="F107" s="8"/>
      <c r="G107" s="13"/>
      <c r="H107" s="8"/>
    </row>
    <row r="108" ht="14.25" customHeight="1">
      <c r="D108" s="5" t="s">
        <v>171</v>
      </c>
      <c r="F108" s="8"/>
      <c r="G108" s="13"/>
      <c r="H108" s="8"/>
    </row>
    <row r="109" ht="14.25" customHeight="1">
      <c r="D109" s="5" t="s">
        <v>172</v>
      </c>
      <c r="F109" s="8"/>
      <c r="G109" s="13"/>
      <c r="H109" s="8"/>
    </row>
    <row r="110" ht="14.25" customHeight="1">
      <c r="D110" s="5" t="s">
        <v>173</v>
      </c>
      <c r="F110" s="8"/>
      <c r="G110" s="13"/>
      <c r="H110" s="8"/>
    </row>
    <row r="111" ht="14.25" customHeight="1">
      <c r="D111" s="5" t="s">
        <v>174</v>
      </c>
      <c r="F111" s="8"/>
      <c r="G111" s="13"/>
      <c r="H111" s="8"/>
    </row>
    <row r="112" ht="14.25" customHeight="1">
      <c r="D112" s="5" t="s">
        <v>175</v>
      </c>
      <c r="F112" s="8"/>
      <c r="G112" s="13"/>
      <c r="H112" s="8"/>
    </row>
    <row r="113" ht="14.25" customHeight="1">
      <c r="D113" s="5" t="s">
        <v>176</v>
      </c>
      <c r="F113" s="8"/>
      <c r="G113" s="13"/>
      <c r="H113" s="8"/>
    </row>
    <row r="114" ht="14.25" customHeight="1">
      <c r="D114" s="5" t="s">
        <v>177</v>
      </c>
      <c r="F114" s="8"/>
      <c r="G114" s="13"/>
      <c r="H114" s="8"/>
    </row>
    <row r="115" ht="14.25" customHeight="1">
      <c r="D115" s="5" t="s">
        <v>178</v>
      </c>
      <c r="F115" s="8"/>
      <c r="G115" s="13"/>
      <c r="H115" s="8"/>
    </row>
    <row r="116" ht="14.25" customHeight="1">
      <c r="D116" s="5" t="s">
        <v>179</v>
      </c>
      <c r="F116" s="8"/>
      <c r="G116" s="13"/>
      <c r="H116" s="8"/>
    </row>
    <row r="117" ht="14.25" customHeight="1">
      <c r="F117" s="8"/>
      <c r="G117" s="13"/>
      <c r="H117" s="8"/>
    </row>
    <row r="118" ht="14.25" customHeight="1">
      <c r="F118" s="8"/>
      <c r="G118" s="13"/>
      <c r="H118" s="8"/>
    </row>
    <row r="119" ht="14.25" customHeight="1">
      <c r="F119" s="8"/>
      <c r="G119" s="13"/>
      <c r="H119" s="8"/>
    </row>
    <row r="120" ht="14.25" customHeight="1">
      <c r="F120" s="8"/>
      <c r="G120" s="13"/>
      <c r="H120" s="8"/>
    </row>
    <row r="121" ht="14.25" customHeight="1">
      <c r="F121" s="8"/>
      <c r="G121" s="13"/>
      <c r="H121" s="8"/>
    </row>
    <row r="122" ht="14.25" customHeight="1">
      <c r="F122" s="8"/>
      <c r="G122" s="13"/>
      <c r="H122" s="8"/>
    </row>
    <row r="123" ht="14.25" customHeight="1">
      <c r="F123" s="8"/>
      <c r="G123" s="13"/>
      <c r="H123" s="8"/>
    </row>
    <row r="124" ht="14.25" customHeight="1">
      <c r="F124" s="8"/>
      <c r="G124" s="13"/>
      <c r="H124" s="8"/>
    </row>
    <row r="125" ht="14.25" customHeight="1">
      <c r="F125" s="8"/>
      <c r="G125" s="13"/>
      <c r="H125" s="8"/>
    </row>
    <row r="126" ht="14.25" customHeight="1">
      <c r="F126" s="8"/>
      <c r="G126" s="13"/>
      <c r="H126" s="8"/>
    </row>
    <row r="127" ht="14.25" customHeight="1">
      <c r="F127" s="8"/>
      <c r="G127" s="13"/>
      <c r="H127" s="8"/>
    </row>
    <row r="128" ht="14.25" customHeight="1">
      <c r="F128" s="8"/>
      <c r="G128" s="13"/>
      <c r="H128" s="8"/>
    </row>
    <row r="129" ht="14.25" customHeight="1">
      <c r="F129" s="8"/>
      <c r="G129" s="13"/>
      <c r="H129" s="8"/>
    </row>
    <row r="130" ht="14.25" customHeight="1">
      <c r="F130" s="8"/>
      <c r="G130" s="13"/>
      <c r="H130" s="8"/>
    </row>
    <row r="131" ht="14.25" customHeight="1">
      <c r="F131" s="8"/>
      <c r="G131" s="13"/>
      <c r="H131" s="8"/>
    </row>
    <row r="132" ht="14.25" customHeight="1">
      <c r="F132" s="8"/>
      <c r="G132" s="13"/>
      <c r="H132" s="8"/>
    </row>
    <row r="133" ht="14.25" customHeight="1">
      <c r="F133" s="8"/>
      <c r="G133" s="13"/>
      <c r="H133" s="8"/>
    </row>
    <row r="134" ht="14.25" customHeight="1">
      <c r="F134" s="8"/>
      <c r="G134" s="13"/>
      <c r="H134" s="8"/>
    </row>
    <row r="135" ht="14.25" customHeight="1">
      <c r="F135" s="8"/>
      <c r="G135" s="13"/>
      <c r="H135" s="8"/>
    </row>
    <row r="136" ht="14.25" customHeight="1">
      <c r="F136" s="8"/>
      <c r="G136" s="13"/>
      <c r="H136" s="8"/>
    </row>
    <row r="137" ht="14.25" customHeight="1">
      <c r="F137" s="8"/>
      <c r="G137" s="13"/>
      <c r="H137" s="8"/>
    </row>
    <row r="138" ht="14.25" customHeight="1">
      <c r="F138" s="8"/>
      <c r="G138" s="13"/>
      <c r="H138" s="8"/>
    </row>
    <row r="139" ht="14.25" customHeight="1">
      <c r="F139" s="8"/>
      <c r="G139" s="13"/>
      <c r="H139" s="8"/>
    </row>
    <row r="140" ht="14.25" customHeight="1">
      <c r="F140" s="8"/>
      <c r="G140" s="13"/>
      <c r="H140" s="8"/>
    </row>
    <row r="141" ht="14.25" customHeight="1">
      <c r="F141" s="8"/>
      <c r="G141" s="13"/>
      <c r="H141" s="8"/>
    </row>
    <row r="142" ht="14.25" customHeight="1">
      <c r="F142" s="8"/>
      <c r="G142" s="13"/>
      <c r="H142" s="8"/>
    </row>
    <row r="143" ht="14.25" customHeight="1">
      <c r="F143" s="8"/>
      <c r="G143" s="13"/>
      <c r="H143" s="8"/>
    </row>
    <row r="144" ht="14.25" customHeight="1">
      <c r="F144" s="8"/>
      <c r="G144" s="13"/>
      <c r="H144" s="8"/>
    </row>
    <row r="145" ht="14.25" customHeight="1">
      <c r="F145" s="8"/>
      <c r="G145" s="13"/>
      <c r="H145" s="8"/>
    </row>
    <row r="146" ht="14.25" customHeight="1">
      <c r="F146" s="8"/>
      <c r="G146" s="13"/>
      <c r="H146" s="8"/>
    </row>
    <row r="147" ht="14.25" customHeight="1">
      <c r="F147" s="8"/>
      <c r="G147" s="13"/>
      <c r="H147" s="8"/>
    </row>
    <row r="148" ht="14.25" customHeight="1">
      <c r="F148" s="8"/>
      <c r="G148" s="13"/>
      <c r="H148" s="8"/>
    </row>
    <row r="149" ht="14.25" customHeight="1">
      <c r="F149" s="8"/>
      <c r="G149" s="13"/>
      <c r="H149" s="8"/>
    </row>
    <row r="150" ht="14.25" customHeight="1">
      <c r="F150" s="8"/>
      <c r="G150" s="13"/>
      <c r="H150" s="8"/>
    </row>
    <row r="151" ht="14.25" customHeight="1">
      <c r="F151" s="8"/>
      <c r="G151" s="13"/>
      <c r="H151" s="8"/>
    </row>
    <row r="152" ht="14.25" customHeight="1">
      <c r="F152" s="8"/>
      <c r="G152" s="13"/>
      <c r="H152" s="8"/>
    </row>
    <row r="153" ht="14.25" customHeight="1">
      <c r="F153" s="8"/>
      <c r="G153" s="13"/>
      <c r="H153" s="8"/>
    </row>
    <row r="154" ht="14.25" customHeight="1">
      <c r="F154" s="8"/>
      <c r="G154" s="13"/>
      <c r="H154" s="8"/>
    </row>
    <row r="155" ht="14.25" customHeight="1">
      <c r="F155" s="8"/>
      <c r="G155" s="13"/>
      <c r="H155" s="8"/>
    </row>
    <row r="156" ht="14.25" customHeight="1">
      <c r="F156" s="8"/>
      <c r="G156" s="13"/>
      <c r="H156" s="8"/>
    </row>
    <row r="157" ht="14.25" customHeight="1">
      <c r="F157" s="8"/>
      <c r="G157" s="13"/>
      <c r="H157" s="8"/>
    </row>
    <row r="158" ht="14.25" customHeight="1">
      <c r="F158" s="8"/>
      <c r="G158" s="13"/>
      <c r="H158" s="8"/>
    </row>
    <row r="159" ht="14.25" customHeight="1">
      <c r="F159" s="8"/>
      <c r="G159" s="13"/>
      <c r="H159" s="8"/>
    </row>
    <row r="160" ht="14.25" customHeight="1">
      <c r="F160" s="8"/>
      <c r="G160" s="13"/>
      <c r="H160" s="8"/>
    </row>
    <row r="161" ht="14.25" customHeight="1">
      <c r="F161" s="8"/>
      <c r="G161" s="13"/>
      <c r="H161" s="8"/>
    </row>
    <row r="162" ht="14.25" customHeight="1">
      <c r="F162" s="8"/>
      <c r="G162" s="13"/>
      <c r="H162" s="8"/>
    </row>
    <row r="163" ht="14.25" customHeight="1">
      <c r="F163" s="8"/>
      <c r="G163" s="13"/>
      <c r="H163" s="8"/>
    </row>
    <row r="164" ht="14.25" customHeight="1">
      <c r="F164" s="8"/>
      <c r="G164" s="13"/>
      <c r="H164" s="8"/>
    </row>
    <row r="165" ht="14.25" customHeight="1">
      <c r="F165" s="8"/>
      <c r="G165" s="13"/>
      <c r="H165" s="8"/>
    </row>
    <row r="166" ht="14.25" customHeight="1">
      <c r="F166" s="8"/>
      <c r="G166" s="13"/>
      <c r="H166" s="8"/>
    </row>
    <row r="167" ht="14.25" customHeight="1">
      <c r="F167" s="8"/>
      <c r="G167" s="13"/>
      <c r="H167" s="8"/>
    </row>
    <row r="168" ht="14.25" customHeight="1">
      <c r="F168" s="8"/>
      <c r="G168" s="13"/>
      <c r="H168" s="8"/>
    </row>
    <row r="169" ht="14.25" customHeight="1">
      <c r="F169" s="8"/>
      <c r="G169" s="13"/>
      <c r="H169" s="8"/>
    </row>
    <row r="170" ht="14.25" customHeight="1">
      <c r="F170" s="8"/>
      <c r="G170" s="13"/>
      <c r="H170" s="8"/>
    </row>
    <row r="171" ht="14.25" customHeight="1">
      <c r="F171" s="8"/>
      <c r="G171" s="13"/>
      <c r="H171" s="8"/>
    </row>
    <row r="172" ht="14.25" customHeight="1">
      <c r="F172" s="8"/>
      <c r="G172" s="13"/>
      <c r="H172" s="8"/>
    </row>
    <row r="173" ht="14.25" customHeight="1">
      <c r="F173" s="8"/>
      <c r="G173" s="13"/>
      <c r="H173" s="8"/>
    </row>
    <row r="174" ht="14.25" customHeight="1">
      <c r="F174" s="8"/>
      <c r="G174" s="13"/>
      <c r="H174" s="8"/>
    </row>
    <row r="175" ht="14.25" customHeight="1">
      <c r="F175" s="8"/>
      <c r="G175" s="13"/>
      <c r="H175" s="8"/>
    </row>
    <row r="176" ht="14.25" customHeight="1">
      <c r="F176" s="8"/>
      <c r="G176" s="13"/>
      <c r="H176" s="8"/>
    </row>
    <row r="177" ht="14.25" customHeight="1">
      <c r="F177" s="8"/>
      <c r="G177" s="13"/>
      <c r="H177" s="8"/>
    </row>
    <row r="178" ht="14.25" customHeight="1">
      <c r="F178" s="8"/>
      <c r="G178" s="13"/>
      <c r="H178" s="8"/>
    </row>
    <row r="179" ht="14.25" customHeight="1">
      <c r="F179" s="8"/>
      <c r="G179" s="13"/>
      <c r="H179" s="8"/>
    </row>
    <row r="180" ht="14.25" customHeight="1">
      <c r="F180" s="8"/>
      <c r="G180" s="13"/>
      <c r="H180" s="8"/>
    </row>
    <row r="181" ht="14.25" customHeight="1">
      <c r="F181" s="8"/>
      <c r="G181" s="13"/>
      <c r="H181" s="8"/>
    </row>
    <row r="182" ht="14.25" customHeight="1">
      <c r="F182" s="8"/>
      <c r="G182" s="13"/>
      <c r="H182" s="8"/>
    </row>
    <row r="183" ht="14.25" customHeight="1">
      <c r="F183" s="8"/>
      <c r="G183" s="13"/>
      <c r="H183" s="8"/>
    </row>
    <row r="184" ht="14.25" customHeight="1">
      <c r="F184" s="8"/>
      <c r="G184" s="13"/>
      <c r="H184" s="8"/>
    </row>
    <row r="185" ht="14.25" customHeight="1">
      <c r="F185" s="8"/>
      <c r="G185" s="13"/>
      <c r="H185" s="8"/>
    </row>
    <row r="186" ht="14.25" customHeight="1">
      <c r="F186" s="8"/>
      <c r="G186" s="13"/>
      <c r="H186" s="8"/>
    </row>
    <row r="187" ht="14.25" customHeight="1">
      <c r="F187" s="8"/>
      <c r="G187" s="13"/>
      <c r="H187" s="8"/>
    </row>
    <row r="188" ht="14.25" customHeight="1">
      <c r="F188" s="8"/>
      <c r="G188" s="13"/>
      <c r="H188" s="8"/>
    </row>
    <row r="189" ht="14.25" customHeight="1">
      <c r="F189" s="8"/>
      <c r="G189" s="13"/>
      <c r="H189" s="8"/>
    </row>
    <row r="190" ht="14.25" customHeight="1">
      <c r="F190" s="8"/>
      <c r="G190" s="13"/>
      <c r="H190" s="8"/>
    </row>
    <row r="191" ht="14.25" customHeight="1">
      <c r="F191" s="8"/>
      <c r="G191" s="13"/>
      <c r="H191" s="8"/>
    </row>
    <row r="192" ht="14.25" customHeight="1">
      <c r="F192" s="8"/>
      <c r="G192" s="13"/>
      <c r="H192" s="8"/>
    </row>
    <row r="193" ht="14.25" customHeight="1">
      <c r="F193" s="8"/>
      <c r="G193" s="13"/>
      <c r="H193" s="8"/>
    </row>
    <row r="194" ht="14.25" customHeight="1">
      <c r="F194" s="8"/>
      <c r="G194" s="13"/>
      <c r="H194" s="8"/>
    </row>
    <row r="195" ht="14.25" customHeight="1">
      <c r="F195" s="8"/>
      <c r="G195" s="13"/>
      <c r="H195" s="8"/>
    </row>
    <row r="196" ht="14.25" customHeight="1">
      <c r="F196" s="8"/>
      <c r="G196" s="13"/>
      <c r="H196" s="8"/>
    </row>
    <row r="197" ht="14.25" customHeight="1">
      <c r="F197" s="8"/>
      <c r="G197" s="13"/>
      <c r="H197" s="8"/>
    </row>
    <row r="198" ht="14.25" customHeight="1">
      <c r="F198" s="8"/>
      <c r="G198" s="13"/>
      <c r="H198" s="8"/>
    </row>
    <row r="199" ht="14.25" customHeight="1">
      <c r="F199" s="8"/>
      <c r="G199" s="13"/>
      <c r="H199" s="8"/>
    </row>
    <row r="200" ht="14.25" customHeight="1">
      <c r="F200" s="8"/>
      <c r="G200" s="13"/>
      <c r="H200" s="8"/>
    </row>
    <row r="201" ht="14.25" customHeight="1">
      <c r="F201" s="8"/>
      <c r="G201" s="13"/>
      <c r="H201" s="8"/>
    </row>
    <row r="202" ht="14.25" customHeight="1">
      <c r="F202" s="8"/>
      <c r="G202" s="13"/>
      <c r="H202" s="8"/>
    </row>
    <row r="203" ht="14.25" customHeight="1">
      <c r="F203" s="8"/>
      <c r="G203" s="13"/>
      <c r="H203" s="8"/>
    </row>
    <row r="204" ht="14.25" customHeight="1">
      <c r="F204" s="8"/>
      <c r="G204" s="13"/>
      <c r="H204" s="8"/>
    </row>
    <row r="205" ht="14.25" customHeight="1">
      <c r="F205" s="8"/>
      <c r="G205" s="13"/>
      <c r="H205" s="8"/>
    </row>
    <row r="206" ht="14.25" customHeight="1">
      <c r="F206" s="8"/>
      <c r="G206" s="13"/>
      <c r="H206" s="8"/>
    </row>
    <row r="207" ht="14.25" customHeight="1">
      <c r="F207" s="8"/>
      <c r="G207" s="13"/>
      <c r="H207" s="8"/>
    </row>
    <row r="208" ht="14.25" customHeight="1">
      <c r="F208" s="8"/>
      <c r="G208" s="13"/>
      <c r="H208" s="8"/>
    </row>
    <row r="209" ht="14.25" customHeight="1">
      <c r="F209" s="8"/>
      <c r="G209" s="13"/>
      <c r="H209" s="8"/>
    </row>
    <row r="210" ht="14.25" customHeight="1">
      <c r="F210" s="8"/>
      <c r="G210" s="13"/>
      <c r="H210" s="8"/>
    </row>
    <row r="211" ht="14.25" customHeight="1">
      <c r="F211" s="8"/>
      <c r="G211" s="13"/>
      <c r="H211" s="8"/>
    </row>
    <row r="212" ht="14.25" customHeight="1">
      <c r="F212" s="8"/>
      <c r="G212" s="13"/>
      <c r="H212" s="8"/>
    </row>
    <row r="213" ht="14.25" customHeight="1">
      <c r="F213" s="8"/>
      <c r="G213" s="13"/>
      <c r="H213" s="8"/>
    </row>
    <row r="214" ht="14.25" customHeight="1">
      <c r="F214" s="8"/>
      <c r="G214" s="13"/>
      <c r="H214" s="8"/>
    </row>
    <row r="215" ht="14.25" customHeight="1">
      <c r="F215" s="8"/>
      <c r="G215" s="13"/>
      <c r="H215" s="8"/>
    </row>
    <row r="216" ht="14.25" customHeight="1">
      <c r="F216" s="8"/>
      <c r="G216" s="13"/>
      <c r="H216" s="8"/>
    </row>
    <row r="217" ht="14.25" customHeight="1">
      <c r="F217" s="8"/>
      <c r="G217" s="13"/>
      <c r="H217" s="8"/>
    </row>
    <row r="218" ht="14.25" customHeight="1">
      <c r="F218" s="8"/>
      <c r="G218" s="13"/>
      <c r="H218" s="8"/>
    </row>
    <row r="219" ht="14.25" customHeight="1">
      <c r="F219" s="8"/>
      <c r="G219" s="13"/>
      <c r="H219" s="8"/>
    </row>
    <row r="220" ht="14.25" customHeight="1">
      <c r="F220" s="8"/>
      <c r="G220" s="13"/>
      <c r="H220" s="8"/>
    </row>
    <row r="221" ht="14.25" customHeight="1">
      <c r="F221" s="8"/>
      <c r="G221" s="13"/>
      <c r="H221" s="8"/>
    </row>
    <row r="222" ht="14.25" customHeight="1">
      <c r="F222" s="8"/>
      <c r="G222" s="13"/>
      <c r="H222" s="8"/>
    </row>
    <row r="223" ht="14.25" customHeight="1">
      <c r="F223" s="8"/>
      <c r="G223" s="13"/>
      <c r="H223" s="8"/>
    </row>
    <row r="224" ht="14.25" customHeight="1">
      <c r="F224" s="8"/>
      <c r="G224" s="13"/>
      <c r="H224" s="8"/>
    </row>
    <row r="225" ht="14.25" customHeight="1">
      <c r="F225" s="8"/>
      <c r="G225" s="13"/>
      <c r="H225" s="8"/>
    </row>
    <row r="226" ht="14.25" customHeight="1">
      <c r="F226" s="8"/>
      <c r="G226" s="13"/>
      <c r="H226" s="8"/>
    </row>
    <row r="227" ht="14.25" customHeight="1">
      <c r="F227" s="8"/>
      <c r="G227" s="13"/>
      <c r="H227" s="8"/>
    </row>
    <row r="228" ht="14.25" customHeight="1">
      <c r="F228" s="8"/>
      <c r="G228" s="13"/>
      <c r="H228" s="8"/>
    </row>
    <row r="229" ht="14.25" customHeight="1">
      <c r="F229" s="8"/>
      <c r="G229" s="13"/>
      <c r="H229" s="8"/>
    </row>
    <row r="230" ht="14.25" customHeight="1">
      <c r="F230" s="8"/>
      <c r="G230" s="13"/>
      <c r="H230" s="8"/>
    </row>
    <row r="231" ht="14.25" customHeight="1">
      <c r="F231" s="8"/>
      <c r="G231" s="13"/>
      <c r="H231" s="8"/>
    </row>
    <row r="232" ht="14.25" customHeight="1">
      <c r="F232" s="8"/>
      <c r="G232" s="13"/>
      <c r="H232" s="8"/>
    </row>
    <row r="233" ht="14.25" customHeight="1">
      <c r="F233" s="8"/>
      <c r="G233" s="13"/>
      <c r="H233" s="8"/>
    </row>
    <row r="234" ht="14.25" customHeight="1">
      <c r="F234" s="8"/>
      <c r="G234" s="13"/>
      <c r="H234" s="8"/>
    </row>
    <row r="235" ht="14.25" customHeight="1">
      <c r="F235" s="8"/>
      <c r="G235" s="13"/>
      <c r="H235" s="8"/>
    </row>
    <row r="236" ht="14.25" customHeight="1">
      <c r="F236" s="8"/>
      <c r="G236" s="13"/>
      <c r="H236" s="8"/>
    </row>
    <row r="237" ht="14.25" customHeight="1">
      <c r="F237" s="8"/>
      <c r="G237" s="13"/>
      <c r="H237" s="8"/>
    </row>
    <row r="238" ht="14.25" customHeight="1">
      <c r="F238" s="8"/>
      <c r="G238" s="13"/>
      <c r="H238" s="8"/>
    </row>
    <row r="239" ht="14.25" customHeight="1">
      <c r="F239" s="8"/>
      <c r="G239" s="13"/>
      <c r="H239" s="8"/>
    </row>
    <row r="240" ht="14.25" customHeight="1">
      <c r="F240" s="8"/>
      <c r="G240" s="13"/>
      <c r="H240" s="8"/>
    </row>
    <row r="241" ht="14.25" customHeight="1">
      <c r="F241" s="8"/>
      <c r="G241" s="13"/>
      <c r="H241" s="8"/>
    </row>
    <row r="242" ht="14.25" customHeight="1">
      <c r="F242" s="8"/>
      <c r="G242" s="13"/>
      <c r="H242" s="8"/>
    </row>
    <row r="243" ht="14.25" customHeight="1">
      <c r="F243" s="8"/>
      <c r="G243" s="13"/>
      <c r="H243" s="8"/>
    </row>
    <row r="244" ht="14.25" customHeight="1">
      <c r="F244" s="8"/>
      <c r="G244" s="13"/>
      <c r="H244" s="8"/>
    </row>
    <row r="245" ht="14.25" customHeight="1">
      <c r="F245" s="8"/>
      <c r="G245" s="13"/>
      <c r="H245" s="8"/>
    </row>
    <row r="246" ht="14.25" customHeight="1">
      <c r="F246" s="8"/>
      <c r="G246" s="13"/>
      <c r="H246" s="8"/>
    </row>
    <row r="247" ht="14.25" customHeight="1">
      <c r="F247" s="8"/>
      <c r="G247" s="13"/>
      <c r="H247" s="8"/>
    </row>
    <row r="248" ht="14.25" customHeight="1">
      <c r="F248" s="8"/>
      <c r="G248" s="13"/>
      <c r="H248" s="8"/>
    </row>
    <row r="249" ht="14.25" customHeight="1">
      <c r="F249" s="8"/>
      <c r="G249" s="13"/>
      <c r="H249" s="8"/>
    </row>
    <row r="250" ht="14.25" customHeight="1">
      <c r="F250" s="8"/>
      <c r="G250" s="13"/>
      <c r="H250" s="8"/>
    </row>
    <row r="251" ht="14.25" customHeight="1">
      <c r="F251" s="8"/>
      <c r="G251" s="13"/>
      <c r="H251" s="8"/>
    </row>
    <row r="252" ht="14.25" customHeight="1">
      <c r="F252" s="8"/>
      <c r="G252" s="13"/>
      <c r="H252" s="8"/>
    </row>
    <row r="253" ht="14.25" customHeight="1">
      <c r="F253" s="8"/>
      <c r="G253" s="13"/>
      <c r="H253" s="8"/>
    </row>
    <row r="254" ht="14.25" customHeight="1">
      <c r="F254" s="8"/>
      <c r="G254" s="13"/>
      <c r="H254" s="8"/>
    </row>
    <row r="255" ht="14.25" customHeight="1">
      <c r="F255" s="8"/>
      <c r="G255" s="13"/>
      <c r="H255" s="8"/>
    </row>
    <row r="256" ht="14.25" customHeight="1">
      <c r="F256" s="8"/>
      <c r="G256" s="13"/>
      <c r="H256" s="8"/>
    </row>
    <row r="257" ht="14.25" customHeight="1">
      <c r="F257" s="8"/>
      <c r="G257" s="13"/>
      <c r="H257" s="8"/>
    </row>
    <row r="258" ht="14.25" customHeight="1">
      <c r="F258" s="8"/>
      <c r="G258" s="13"/>
      <c r="H258" s="8"/>
    </row>
    <row r="259" ht="14.25" customHeight="1">
      <c r="F259" s="8"/>
      <c r="G259" s="13"/>
      <c r="H259" s="8"/>
    </row>
    <row r="260" ht="14.25" customHeight="1">
      <c r="F260" s="8"/>
      <c r="G260" s="13"/>
      <c r="H260" s="8"/>
    </row>
    <row r="261" ht="14.25" customHeight="1">
      <c r="F261" s="8"/>
      <c r="G261" s="13"/>
      <c r="H261" s="8"/>
    </row>
    <row r="262" ht="14.25" customHeight="1">
      <c r="F262" s="8"/>
      <c r="G262" s="13"/>
      <c r="H262" s="8"/>
    </row>
    <row r="263" ht="14.25" customHeight="1">
      <c r="F263" s="8"/>
      <c r="G263" s="13"/>
      <c r="H263" s="8"/>
    </row>
    <row r="264" ht="14.25" customHeight="1">
      <c r="F264" s="8"/>
      <c r="G264" s="13"/>
      <c r="H264" s="8"/>
    </row>
    <row r="265" ht="14.25" customHeight="1">
      <c r="F265" s="8"/>
      <c r="G265" s="13"/>
      <c r="H265" s="8"/>
    </row>
    <row r="266" ht="14.25" customHeight="1">
      <c r="F266" s="8"/>
      <c r="G266" s="13"/>
      <c r="H266" s="8"/>
    </row>
    <row r="267" ht="14.25" customHeight="1">
      <c r="F267" s="8"/>
      <c r="G267" s="13"/>
      <c r="H267" s="8"/>
    </row>
    <row r="268" ht="14.25" customHeight="1">
      <c r="F268" s="8"/>
      <c r="G268" s="13"/>
      <c r="H268" s="8"/>
    </row>
    <row r="269" ht="14.25" customHeight="1">
      <c r="F269" s="8"/>
      <c r="G269" s="13"/>
      <c r="H269" s="8"/>
    </row>
    <row r="270" ht="14.25" customHeight="1">
      <c r="F270" s="8"/>
      <c r="G270" s="13"/>
      <c r="H270" s="8"/>
    </row>
    <row r="271" ht="14.25" customHeight="1">
      <c r="F271" s="8"/>
      <c r="G271" s="13"/>
      <c r="H271" s="8"/>
    </row>
    <row r="272" ht="14.25" customHeight="1">
      <c r="F272" s="8"/>
      <c r="G272" s="13"/>
      <c r="H272" s="8"/>
    </row>
    <row r="273" ht="14.25" customHeight="1">
      <c r="F273" s="8"/>
      <c r="G273" s="13"/>
      <c r="H273" s="8"/>
    </row>
    <row r="274" ht="14.25" customHeight="1">
      <c r="F274" s="8"/>
      <c r="G274" s="13"/>
      <c r="H274" s="8"/>
    </row>
    <row r="275" ht="14.25" customHeight="1">
      <c r="F275" s="8"/>
      <c r="G275" s="13"/>
      <c r="H275" s="8"/>
    </row>
    <row r="276" ht="14.25" customHeight="1">
      <c r="F276" s="8"/>
      <c r="G276" s="13"/>
      <c r="H276" s="8"/>
    </row>
    <row r="277" ht="14.25" customHeight="1">
      <c r="F277" s="8"/>
      <c r="G277" s="13"/>
      <c r="H277" s="8"/>
    </row>
    <row r="278" ht="14.25" customHeight="1">
      <c r="F278" s="8"/>
      <c r="G278" s="13"/>
      <c r="H278" s="8"/>
    </row>
    <row r="279" ht="14.25" customHeight="1">
      <c r="F279" s="8"/>
      <c r="G279" s="13"/>
      <c r="H279" s="8"/>
    </row>
    <row r="280" ht="14.25" customHeight="1">
      <c r="F280" s="8"/>
      <c r="G280" s="13"/>
      <c r="H280" s="8"/>
    </row>
    <row r="281" ht="14.25" customHeight="1">
      <c r="F281" s="8"/>
      <c r="G281" s="13"/>
      <c r="H281" s="8"/>
    </row>
    <row r="282" ht="14.25" customHeight="1">
      <c r="F282" s="8"/>
      <c r="G282" s="13"/>
      <c r="H282" s="8"/>
    </row>
    <row r="283" ht="14.25" customHeight="1">
      <c r="F283" s="8"/>
      <c r="G283" s="13"/>
      <c r="H283" s="8"/>
    </row>
    <row r="284" ht="14.25" customHeight="1">
      <c r="F284" s="8"/>
      <c r="G284" s="13"/>
      <c r="H284" s="8"/>
    </row>
    <row r="285" ht="14.25" customHeight="1">
      <c r="F285" s="8"/>
      <c r="G285" s="13"/>
      <c r="H285" s="8"/>
    </row>
    <row r="286" ht="14.25" customHeight="1">
      <c r="F286" s="8"/>
      <c r="G286" s="13"/>
      <c r="H286" s="8"/>
    </row>
    <row r="287" ht="14.25" customHeight="1">
      <c r="F287" s="8"/>
      <c r="G287" s="13"/>
      <c r="H287" s="8"/>
    </row>
    <row r="288" ht="14.25" customHeight="1">
      <c r="F288" s="8"/>
      <c r="G288" s="13"/>
      <c r="H288" s="8"/>
    </row>
    <row r="289" ht="14.25" customHeight="1">
      <c r="F289" s="8"/>
      <c r="G289" s="13"/>
      <c r="H289" s="8"/>
    </row>
    <row r="290" ht="14.25" customHeight="1">
      <c r="F290" s="8"/>
      <c r="G290" s="13"/>
      <c r="H290" s="8"/>
    </row>
    <row r="291" ht="14.25" customHeight="1">
      <c r="F291" s="8"/>
      <c r="G291" s="13"/>
      <c r="H291" s="8"/>
    </row>
    <row r="292" ht="14.25" customHeight="1">
      <c r="F292" s="8"/>
      <c r="G292" s="13"/>
      <c r="H292" s="8"/>
    </row>
    <row r="293" ht="14.25" customHeight="1">
      <c r="F293" s="8"/>
      <c r="G293" s="13"/>
      <c r="H293" s="8"/>
    </row>
    <row r="294" ht="14.25" customHeight="1">
      <c r="F294" s="8"/>
      <c r="G294" s="13"/>
      <c r="H294" s="8"/>
    </row>
    <row r="295" ht="14.25" customHeight="1">
      <c r="F295" s="8"/>
      <c r="G295" s="13"/>
      <c r="H295" s="8"/>
    </row>
    <row r="296" ht="14.25" customHeight="1">
      <c r="F296" s="8"/>
      <c r="G296" s="13"/>
      <c r="H296" s="8"/>
    </row>
    <row r="297" ht="14.25" customHeight="1">
      <c r="F297" s="8"/>
      <c r="G297" s="13"/>
      <c r="H297" s="8"/>
    </row>
    <row r="298" ht="14.25" customHeight="1">
      <c r="F298" s="8"/>
      <c r="G298" s="13"/>
      <c r="H298" s="8"/>
    </row>
    <row r="299" ht="14.25" customHeight="1">
      <c r="F299" s="8"/>
      <c r="G299" s="13"/>
      <c r="H299" s="8"/>
    </row>
    <row r="300" ht="14.25" customHeight="1">
      <c r="F300" s="8"/>
      <c r="G300" s="13"/>
      <c r="H300" s="8"/>
    </row>
    <row r="301" ht="14.25" customHeight="1">
      <c r="F301" s="8"/>
      <c r="G301" s="13"/>
      <c r="H301" s="8"/>
    </row>
    <row r="302" ht="14.25" customHeight="1">
      <c r="F302" s="8"/>
      <c r="G302" s="13"/>
      <c r="H302" s="8"/>
    </row>
    <row r="303" ht="14.25" customHeight="1">
      <c r="F303" s="8"/>
      <c r="G303" s="13"/>
      <c r="H303" s="8"/>
    </row>
    <row r="304" ht="14.25" customHeight="1">
      <c r="F304" s="8"/>
      <c r="G304" s="13"/>
      <c r="H304" s="8"/>
    </row>
    <row r="305" ht="14.25" customHeight="1">
      <c r="F305" s="8"/>
      <c r="G305" s="13"/>
      <c r="H305" s="8"/>
    </row>
    <row r="306" ht="14.25" customHeight="1">
      <c r="F306" s="8"/>
      <c r="G306" s="13"/>
      <c r="H306" s="8"/>
    </row>
    <row r="307" ht="14.25" customHeight="1">
      <c r="F307" s="8"/>
      <c r="G307" s="13"/>
      <c r="H307" s="8"/>
    </row>
    <row r="308" ht="14.25" customHeight="1">
      <c r="F308" s="8"/>
      <c r="G308" s="13"/>
      <c r="H308" s="8"/>
    </row>
    <row r="309" ht="14.25" customHeight="1">
      <c r="F309" s="8"/>
      <c r="G309" s="13"/>
      <c r="H309" s="8"/>
    </row>
    <row r="310" ht="14.25" customHeight="1">
      <c r="F310" s="8"/>
      <c r="G310" s="13"/>
      <c r="H310" s="8"/>
    </row>
    <row r="311" ht="14.25" customHeight="1">
      <c r="F311" s="8"/>
      <c r="G311" s="13"/>
      <c r="H311" s="8"/>
    </row>
    <row r="312" ht="14.25" customHeight="1">
      <c r="F312" s="8"/>
      <c r="G312" s="13"/>
      <c r="H312" s="8"/>
    </row>
    <row r="313" ht="14.25" customHeight="1">
      <c r="F313" s="8"/>
      <c r="G313" s="13"/>
      <c r="H313" s="8"/>
    </row>
    <row r="314" ht="14.25" customHeight="1">
      <c r="F314" s="8"/>
      <c r="G314" s="13"/>
      <c r="H314" s="8"/>
    </row>
    <row r="315" ht="14.25" customHeight="1">
      <c r="F315" s="8"/>
      <c r="G315" s="13"/>
      <c r="H315" s="8"/>
    </row>
    <row r="316" ht="14.25" customHeight="1">
      <c r="F316" s="8"/>
      <c r="G316" s="13"/>
      <c r="H316" s="8"/>
    </row>
    <row r="317" ht="14.25" customHeight="1">
      <c r="F317" s="8"/>
      <c r="G317" s="13"/>
      <c r="H317" s="8"/>
    </row>
    <row r="318" ht="14.25" customHeight="1">
      <c r="F318" s="8"/>
      <c r="G318" s="13"/>
      <c r="H318" s="8"/>
    </row>
    <row r="319" ht="14.25" customHeight="1">
      <c r="F319" s="8"/>
      <c r="G319" s="13"/>
      <c r="H319" s="8"/>
    </row>
    <row r="320" ht="14.25" customHeight="1">
      <c r="F320" s="8"/>
      <c r="G320" s="13"/>
      <c r="H320" s="8"/>
    </row>
    <row r="321" ht="14.25" customHeight="1">
      <c r="F321" s="8"/>
      <c r="G321" s="13"/>
      <c r="H321" s="8"/>
    </row>
    <row r="322" ht="14.25" customHeight="1">
      <c r="F322" s="8"/>
      <c r="G322" s="13"/>
      <c r="H322" s="8"/>
    </row>
    <row r="323" ht="14.25" customHeight="1">
      <c r="F323" s="8"/>
      <c r="G323" s="13"/>
      <c r="H323" s="8"/>
    </row>
    <row r="324" ht="14.25" customHeight="1">
      <c r="F324" s="8"/>
      <c r="G324" s="13"/>
      <c r="H324" s="8"/>
    </row>
    <row r="325" ht="14.25" customHeight="1">
      <c r="F325" s="8"/>
      <c r="G325" s="13"/>
      <c r="H325" s="8"/>
    </row>
    <row r="326" ht="14.25" customHeight="1">
      <c r="F326" s="8"/>
      <c r="G326" s="13"/>
      <c r="H326" s="8"/>
    </row>
    <row r="327" ht="14.25" customHeight="1">
      <c r="F327" s="8"/>
      <c r="G327" s="13"/>
      <c r="H327" s="8"/>
    </row>
    <row r="328" ht="14.25" customHeight="1">
      <c r="F328" s="8"/>
      <c r="G328" s="13"/>
      <c r="H328" s="8"/>
    </row>
    <row r="329" ht="14.25" customHeight="1">
      <c r="F329" s="8"/>
      <c r="G329" s="13"/>
      <c r="H329" s="8"/>
    </row>
    <row r="330" ht="14.25" customHeight="1">
      <c r="F330" s="8"/>
      <c r="G330" s="13"/>
      <c r="H330" s="8"/>
    </row>
    <row r="331" ht="14.25" customHeight="1">
      <c r="F331" s="8"/>
      <c r="G331" s="13"/>
      <c r="H331" s="8"/>
    </row>
    <row r="332" ht="14.25" customHeight="1">
      <c r="F332" s="8"/>
      <c r="G332" s="13"/>
      <c r="H332" s="8"/>
    </row>
    <row r="333" ht="14.25" customHeight="1">
      <c r="F333" s="8"/>
      <c r="G333" s="13"/>
      <c r="H333" s="8"/>
    </row>
    <row r="334" ht="14.25" customHeight="1">
      <c r="F334" s="8"/>
      <c r="G334" s="13"/>
      <c r="H334" s="8"/>
    </row>
    <row r="335" ht="14.25" customHeight="1">
      <c r="F335" s="8"/>
      <c r="G335" s="13"/>
      <c r="H335" s="8"/>
    </row>
    <row r="336" ht="14.25" customHeight="1">
      <c r="F336" s="8"/>
      <c r="G336" s="13"/>
      <c r="H336" s="8"/>
    </row>
    <row r="337" ht="14.25" customHeight="1">
      <c r="F337" s="8"/>
      <c r="G337" s="13"/>
      <c r="H337" s="8"/>
    </row>
    <row r="338" ht="14.25" customHeight="1">
      <c r="F338" s="8"/>
      <c r="G338" s="13"/>
      <c r="H338" s="8"/>
    </row>
    <row r="339" ht="14.25" customHeight="1">
      <c r="F339" s="8"/>
      <c r="G339" s="13"/>
      <c r="H339" s="8"/>
    </row>
    <row r="340" ht="14.25" customHeight="1">
      <c r="F340" s="8"/>
      <c r="G340" s="13"/>
      <c r="H340" s="8"/>
    </row>
    <row r="341" ht="14.25" customHeight="1">
      <c r="F341" s="8"/>
      <c r="G341" s="13"/>
      <c r="H341" s="8"/>
    </row>
    <row r="342" ht="14.25" customHeight="1">
      <c r="F342" s="8"/>
      <c r="G342" s="13"/>
      <c r="H342" s="8"/>
    </row>
    <row r="343" ht="14.25" customHeight="1">
      <c r="F343" s="8"/>
      <c r="G343" s="13"/>
      <c r="H343" s="8"/>
    </row>
    <row r="344" ht="14.25" customHeight="1">
      <c r="F344" s="8"/>
      <c r="G344" s="13"/>
      <c r="H344" s="8"/>
    </row>
    <row r="345" ht="14.25" customHeight="1">
      <c r="F345" s="8"/>
      <c r="G345" s="13"/>
      <c r="H345" s="8"/>
    </row>
    <row r="346" ht="14.25" customHeight="1">
      <c r="F346" s="8"/>
      <c r="G346" s="13"/>
      <c r="H346" s="8"/>
    </row>
    <row r="347" ht="14.25" customHeight="1">
      <c r="F347" s="8"/>
      <c r="G347" s="13"/>
      <c r="H347" s="8"/>
    </row>
    <row r="348" ht="14.25" customHeight="1">
      <c r="F348" s="8"/>
      <c r="G348" s="13"/>
      <c r="H348" s="8"/>
    </row>
    <row r="349" ht="14.25" customHeight="1">
      <c r="F349" s="8"/>
      <c r="G349" s="13"/>
      <c r="H349" s="8"/>
    </row>
    <row r="350" ht="14.25" customHeight="1">
      <c r="F350" s="8"/>
      <c r="G350" s="13"/>
      <c r="H350" s="8"/>
    </row>
    <row r="351" ht="14.25" customHeight="1">
      <c r="F351" s="8"/>
      <c r="G351" s="13"/>
      <c r="H351" s="8"/>
    </row>
    <row r="352" ht="14.25" customHeight="1">
      <c r="F352" s="8"/>
      <c r="G352" s="13"/>
      <c r="H352" s="8"/>
    </row>
    <row r="353" ht="14.25" customHeight="1">
      <c r="F353" s="8"/>
      <c r="G353" s="13"/>
      <c r="H353" s="8"/>
    </row>
    <row r="354" ht="14.25" customHeight="1">
      <c r="F354" s="8"/>
      <c r="G354" s="13"/>
      <c r="H354" s="8"/>
    </row>
    <row r="355" ht="14.25" customHeight="1">
      <c r="F355" s="8"/>
      <c r="G355" s="13"/>
      <c r="H355" s="8"/>
    </row>
    <row r="356" ht="14.25" customHeight="1">
      <c r="F356" s="8"/>
      <c r="G356" s="13"/>
      <c r="H356" s="8"/>
    </row>
    <row r="357" ht="14.25" customHeight="1">
      <c r="F357" s="8"/>
      <c r="G357" s="13"/>
      <c r="H357" s="8"/>
    </row>
    <row r="358" ht="14.25" customHeight="1">
      <c r="F358" s="8"/>
      <c r="G358" s="13"/>
      <c r="H358" s="8"/>
    </row>
    <row r="359" ht="14.25" customHeight="1">
      <c r="F359" s="8"/>
      <c r="G359" s="13"/>
      <c r="H359" s="8"/>
    </row>
    <row r="360" ht="14.25" customHeight="1">
      <c r="F360" s="8"/>
      <c r="G360" s="13"/>
      <c r="H360" s="8"/>
    </row>
    <row r="361" ht="14.25" customHeight="1">
      <c r="F361" s="8"/>
      <c r="G361" s="13"/>
      <c r="H361" s="8"/>
    </row>
    <row r="362" ht="14.25" customHeight="1">
      <c r="F362" s="8"/>
      <c r="G362" s="13"/>
      <c r="H362" s="8"/>
    </row>
    <row r="363" ht="14.25" customHeight="1">
      <c r="F363" s="8"/>
      <c r="G363" s="13"/>
      <c r="H363" s="8"/>
    </row>
    <row r="364" ht="14.25" customHeight="1">
      <c r="F364" s="8"/>
      <c r="G364" s="13"/>
      <c r="H364" s="8"/>
    </row>
    <row r="365" ht="14.25" customHeight="1">
      <c r="F365" s="8"/>
      <c r="G365" s="13"/>
      <c r="H365" s="8"/>
    </row>
    <row r="366" ht="14.25" customHeight="1">
      <c r="F366" s="8"/>
      <c r="G366" s="13"/>
      <c r="H366" s="8"/>
    </row>
    <row r="367" ht="14.25" customHeight="1">
      <c r="F367" s="8"/>
      <c r="G367" s="13"/>
      <c r="H367" s="8"/>
    </row>
    <row r="368" ht="14.25" customHeight="1">
      <c r="F368" s="8"/>
      <c r="G368" s="13"/>
      <c r="H368" s="8"/>
    </row>
    <row r="369" ht="14.25" customHeight="1">
      <c r="F369" s="8"/>
      <c r="G369" s="13"/>
      <c r="H369" s="8"/>
    </row>
    <row r="370" ht="14.25" customHeight="1">
      <c r="F370" s="8"/>
      <c r="G370" s="13"/>
      <c r="H370" s="8"/>
    </row>
    <row r="371" ht="14.25" customHeight="1">
      <c r="F371" s="8"/>
      <c r="G371" s="13"/>
      <c r="H371" s="8"/>
    </row>
    <row r="372" ht="14.25" customHeight="1">
      <c r="F372" s="8"/>
      <c r="G372" s="13"/>
      <c r="H372" s="8"/>
    </row>
    <row r="373" ht="14.25" customHeight="1">
      <c r="F373" s="8"/>
      <c r="G373" s="13"/>
      <c r="H373" s="8"/>
    </row>
    <row r="374" ht="14.25" customHeight="1">
      <c r="F374" s="8"/>
      <c r="G374" s="13"/>
      <c r="H374" s="8"/>
    </row>
    <row r="375" ht="14.25" customHeight="1">
      <c r="F375" s="8"/>
      <c r="G375" s="13"/>
      <c r="H375" s="8"/>
    </row>
    <row r="376" ht="14.25" customHeight="1">
      <c r="F376" s="8"/>
      <c r="G376" s="13"/>
      <c r="H376" s="8"/>
    </row>
    <row r="377" ht="14.25" customHeight="1">
      <c r="F377" s="8"/>
      <c r="G377" s="13"/>
      <c r="H377" s="8"/>
    </row>
    <row r="378" ht="14.25" customHeight="1">
      <c r="F378" s="8"/>
      <c r="G378" s="13"/>
      <c r="H378" s="8"/>
    </row>
    <row r="379" ht="14.25" customHeight="1">
      <c r="F379" s="8"/>
      <c r="G379" s="13"/>
      <c r="H379" s="8"/>
    </row>
    <row r="380" ht="14.25" customHeight="1">
      <c r="F380" s="8"/>
      <c r="G380" s="13"/>
      <c r="H380" s="8"/>
    </row>
    <row r="381" ht="14.25" customHeight="1">
      <c r="F381" s="8"/>
      <c r="G381" s="13"/>
      <c r="H381" s="8"/>
    </row>
    <row r="382" ht="14.25" customHeight="1">
      <c r="F382" s="8"/>
      <c r="G382" s="13"/>
      <c r="H382" s="8"/>
    </row>
    <row r="383" ht="14.25" customHeight="1">
      <c r="F383" s="8"/>
      <c r="G383" s="13"/>
      <c r="H383" s="8"/>
    </row>
    <row r="384" ht="14.25" customHeight="1">
      <c r="F384" s="8"/>
      <c r="G384" s="13"/>
      <c r="H384" s="8"/>
    </row>
    <row r="385" ht="14.25" customHeight="1">
      <c r="F385" s="8"/>
      <c r="G385" s="13"/>
      <c r="H385" s="8"/>
    </row>
    <row r="386" ht="14.25" customHeight="1">
      <c r="F386" s="8"/>
      <c r="G386" s="13"/>
      <c r="H386" s="8"/>
    </row>
    <row r="387" ht="14.25" customHeight="1">
      <c r="F387" s="8"/>
      <c r="G387" s="13"/>
      <c r="H387" s="8"/>
    </row>
    <row r="388" ht="14.25" customHeight="1">
      <c r="F388" s="8"/>
      <c r="G388" s="13"/>
      <c r="H388" s="8"/>
    </row>
    <row r="389" ht="14.25" customHeight="1">
      <c r="F389" s="8"/>
      <c r="G389" s="13"/>
      <c r="H389" s="8"/>
    </row>
    <row r="390" ht="14.25" customHeight="1">
      <c r="F390" s="8"/>
      <c r="G390" s="13"/>
      <c r="H390" s="8"/>
    </row>
    <row r="391" ht="14.25" customHeight="1">
      <c r="F391" s="8"/>
      <c r="G391" s="13"/>
      <c r="H391" s="8"/>
    </row>
    <row r="392" ht="14.25" customHeight="1">
      <c r="F392" s="8"/>
      <c r="G392" s="13"/>
      <c r="H392" s="8"/>
    </row>
    <row r="393" ht="14.25" customHeight="1">
      <c r="F393" s="8"/>
      <c r="G393" s="13"/>
      <c r="H393" s="8"/>
    </row>
    <row r="394" ht="14.25" customHeight="1">
      <c r="F394" s="8"/>
      <c r="G394" s="13"/>
      <c r="H394" s="8"/>
    </row>
    <row r="395" ht="14.25" customHeight="1">
      <c r="F395" s="8"/>
      <c r="G395" s="13"/>
      <c r="H395" s="8"/>
    </row>
    <row r="396" ht="14.25" customHeight="1">
      <c r="F396" s="8"/>
      <c r="G396" s="13"/>
      <c r="H396" s="8"/>
    </row>
    <row r="397" ht="14.25" customHeight="1">
      <c r="F397" s="8"/>
      <c r="G397" s="13"/>
      <c r="H397" s="8"/>
    </row>
    <row r="398" ht="14.25" customHeight="1">
      <c r="F398" s="8"/>
      <c r="G398" s="13"/>
      <c r="H398" s="8"/>
    </row>
    <row r="399" ht="14.25" customHeight="1">
      <c r="F399" s="8"/>
      <c r="G399" s="13"/>
      <c r="H399" s="8"/>
    </row>
    <row r="400" ht="14.25" customHeight="1">
      <c r="F400" s="8"/>
      <c r="G400" s="13"/>
      <c r="H400" s="8"/>
    </row>
    <row r="401" ht="14.25" customHeight="1">
      <c r="F401" s="8"/>
      <c r="G401" s="13"/>
      <c r="H401" s="8"/>
    </row>
    <row r="402" ht="14.25" customHeight="1">
      <c r="F402" s="8"/>
      <c r="G402" s="13"/>
      <c r="H402" s="8"/>
    </row>
    <row r="403" ht="14.25" customHeight="1">
      <c r="F403" s="8"/>
      <c r="G403" s="13"/>
      <c r="H403" s="8"/>
    </row>
    <row r="404" ht="14.25" customHeight="1">
      <c r="F404" s="8"/>
      <c r="G404" s="13"/>
      <c r="H404" s="8"/>
    </row>
    <row r="405" ht="14.25" customHeight="1">
      <c r="F405" s="8"/>
      <c r="G405" s="13"/>
      <c r="H405" s="8"/>
    </row>
    <row r="406" ht="14.25" customHeight="1">
      <c r="F406" s="8"/>
      <c r="G406" s="13"/>
      <c r="H406" s="8"/>
    </row>
    <row r="407" ht="14.25" customHeight="1">
      <c r="F407" s="8"/>
      <c r="G407" s="13"/>
      <c r="H407" s="8"/>
    </row>
    <row r="408" ht="14.25" customHeight="1">
      <c r="F408" s="8"/>
      <c r="G408" s="13"/>
      <c r="H408" s="8"/>
    </row>
    <row r="409" ht="14.25" customHeight="1">
      <c r="F409" s="8"/>
      <c r="G409" s="13"/>
      <c r="H409" s="8"/>
    </row>
    <row r="410" ht="14.25" customHeight="1">
      <c r="F410" s="8"/>
      <c r="G410" s="13"/>
      <c r="H410" s="8"/>
    </row>
    <row r="411" ht="14.25" customHeight="1">
      <c r="F411" s="8"/>
      <c r="G411" s="13"/>
      <c r="H411" s="8"/>
    </row>
    <row r="412" ht="14.25" customHeight="1">
      <c r="F412" s="8"/>
      <c r="G412" s="13"/>
      <c r="H412" s="8"/>
    </row>
    <row r="413" ht="14.25" customHeight="1">
      <c r="F413" s="8"/>
      <c r="G413" s="13"/>
      <c r="H413" s="8"/>
    </row>
    <row r="414" ht="14.25" customHeight="1">
      <c r="F414" s="8"/>
      <c r="G414" s="13"/>
      <c r="H414" s="8"/>
    </row>
    <row r="415" ht="14.25" customHeight="1">
      <c r="F415" s="8"/>
      <c r="G415" s="13"/>
      <c r="H415" s="8"/>
    </row>
    <row r="416" ht="14.25" customHeight="1">
      <c r="F416" s="8"/>
      <c r="G416" s="13"/>
      <c r="H416" s="8"/>
    </row>
    <row r="417" ht="14.25" customHeight="1">
      <c r="F417" s="8"/>
      <c r="G417" s="13"/>
      <c r="H417" s="8"/>
    </row>
    <row r="418" ht="14.25" customHeight="1">
      <c r="F418" s="8"/>
      <c r="G418" s="13"/>
      <c r="H418" s="8"/>
    </row>
    <row r="419" ht="14.25" customHeight="1">
      <c r="F419" s="8"/>
      <c r="G419" s="13"/>
      <c r="H419" s="8"/>
    </row>
    <row r="420" ht="14.25" customHeight="1">
      <c r="F420" s="8"/>
      <c r="G420" s="13"/>
      <c r="H420" s="8"/>
    </row>
    <row r="421" ht="14.25" customHeight="1">
      <c r="F421" s="8"/>
      <c r="G421" s="13"/>
      <c r="H421" s="8"/>
    </row>
    <row r="422" ht="14.25" customHeight="1">
      <c r="F422" s="8"/>
      <c r="G422" s="13"/>
      <c r="H422" s="8"/>
    </row>
    <row r="423" ht="14.25" customHeight="1">
      <c r="F423" s="8"/>
      <c r="G423" s="13"/>
      <c r="H423" s="8"/>
    </row>
    <row r="424" ht="14.25" customHeight="1">
      <c r="F424" s="8"/>
      <c r="G424" s="13"/>
      <c r="H424" s="8"/>
    </row>
    <row r="425" ht="14.25" customHeight="1">
      <c r="F425" s="8"/>
      <c r="G425" s="13"/>
      <c r="H425" s="8"/>
    </row>
    <row r="426" ht="14.25" customHeight="1">
      <c r="F426" s="8"/>
      <c r="G426" s="13"/>
      <c r="H426" s="8"/>
    </row>
    <row r="427" ht="14.25" customHeight="1">
      <c r="F427" s="8"/>
      <c r="G427" s="13"/>
      <c r="H427" s="8"/>
    </row>
    <row r="428" ht="14.25" customHeight="1">
      <c r="F428" s="8"/>
      <c r="G428" s="13"/>
      <c r="H428" s="8"/>
    </row>
    <row r="429" ht="14.25" customHeight="1">
      <c r="F429" s="8"/>
      <c r="G429" s="13"/>
      <c r="H429" s="8"/>
    </row>
    <row r="430" ht="14.25" customHeight="1">
      <c r="F430" s="8"/>
      <c r="G430" s="13"/>
      <c r="H430" s="8"/>
    </row>
    <row r="431" ht="14.25" customHeight="1">
      <c r="F431" s="8"/>
      <c r="G431" s="13"/>
      <c r="H431" s="8"/>
    </row>
    <row r="432" ht="14.25" customHeight="1">
      <c r="F432" s="8"/>
      <c r="G432" s="13"/>
      <c r="H432" s="8"/>
    </row>
    <row r="433" ht="14.25" customHeight="1">
      <c r="F433" s="8"/>
      <c r="G433" s="13"/>
      <c r="H433" s="8"/>
    </row>
    <row r="434" ht="14.25" customHeight="1">
      <c r="F434" s="8"/>
      <c r="G434" s="13"/>
      <c r="H434" s="8"/>
    </row>
    <row r="435" ht="14.25" customHeight="1">
      <c r="F435" s="8"/>
      <c r="G435" s="13"/>
      <c r="H435" s="8"/>
    </row>
    <row r="436" ht="14.25" customHeight="1">
      <c r="F436" s="8"/>
      <c r="G436" s="13"/>
      <c r="H436" s="8"/>
    </row>
    <row r="437" ht="14.25" customHeight="1">
      <c r="F437" s="8"/>
      <c r="G437" s="13"/>
      <c r="H437" s="8"/>
    </row>
    <row r="438" ht="14.25" customHeight="1">
      <c r="F438" s="8"/>
      <c r="G438" s="13"/>
      <c r="H438" s="8"/>
    </row>
    <row r="439" ht="14.25" customHeight="1">
      <c r="F439" s="8"/>
      <c r="G439" s="13"/>
      <c r="H439" s="8"/>
    </row>
    <row r="440" ht="14.25" customHeight="1">
      <c r="F440" s="8"/>
      <c r="G440" s="13"/>
      <c r="H440" s="8"/>
    </row>
    <row r="441" ht="14.25" customHeight="1">
      <c r="F441" s="8"/>
      <c r="G441" s="13"/>
      <c r="H441" s="8"/>
    </row>
    <row r="442" ht="14.25" customHeight="1">
      <c r="F442" s="8"/>
      <c r="G442" s="13"/>
      <c r="H442" s="8"/>
    </row>
    <row r="443" ht="14.25" customHeight="1">
      <c r="F443" s="8"/>
      <c r="G443" s="13"/>
      <c r="H443" s="8"/>
    </row>
    <row r="444" ht="14.25" customHeight="1">
      <c r="F444" s="8"/>
      <c r="G444" s="13"/>
      <c r="H444" s="8"/>
    </row>
    <row r="445" ht="14.25" customHeight="1">
      <c r="F445" s="8"/>
      <c r="G445" s="13"/>
      <c r="H445" s="8"/>
    </row>
    <row r="446" ht="14.25" customHeight="1">
      <c r="F446" s="8"/>
      <c r="G446" s="13"/>
      <c r="H446" s="8"/>
    </row>
    <row r="447" ht="14.25" customHeight="1">
      <c r="F447" s="8"/>
      <c r="G447" s="13"/>
      <c r="H447" s="8"/>
    </row>
    <row r="448" ht="14.25" customHeight="1">
      <c r="F448" s="8"/>
      <c r="G448" s="13"/>
      <c r="H448" s="8"/>
    </row>
    <row r="449" ht="14.25" customHeight="1">
      <c r="F449" s="8"/>
      <c r="G449" s="13"/>
      <c r="H449" s="8"/>
    </row>
    <row r="450" ht="14.25" customHeight="1">
      <c r="F450" s="8"/>
      <c r="G450" s="13"/>
      <c r="H450" s="8"/>
    </row>
    <row r="451" ht="14.25" customHeight="1">
      <c r="F451" s="8"/>
      <c r="G451" s="13"/>
      <c r="H451" s="8"/>
    </row>
    <row r="452" ht="14.25" customHeight="1">
      <c r="F452" s="8"/>
      <c r="G452" s="13"/>
      <c r="H452" s="8"/>
    </row>
    <row r="453" ht="14.25" customHeight="1">
      <c r="F453" s="8"/>
      <c r="G453" s="13"/>
      <c r="H453" s="8"/>
    </row>
    <row r="454" ht="14.25" customHeight="1">
      <c r="F454" s="8"/>
      <c r="G454" s="13"/>
      <c r="H454" s="8"/>
    </row>
    <row r="455" ht="14.25" customHeight="1">
      <c r="F455" s="8"/>
      <c r="G455" s="13"/>
      <c r="H455" s="8"/>
    </row>
    <row r="456" ht="14.25" customHeight="1">
      <c r="F456" s="8"/>
      <c r="G456" s="13"/>
      <c r="H456" s="8"/>
    </row>
    <row r="457" ht="14.25" customHeight="1">
      <c r="F457" s="8"/>
      <c r="G457" s="13"/>
      <c r="H457" s="8"/>
    </row>
    <row r="458" ht="14.25" customHeight="1">
      <c r="F458" s="8"/>
      <c r="G458" s="13"/>
      <c r="H458" s="8"/>
    </row>
    <row r="459" ht="14.25" customHeight="1">
      <c r="F459" s="8"/>
      <c r="G459" s="13"/>
      <c r="H459" s="8"/>
    </row>
    <row r="460" ht="14.25" customHeight="1">
      <c r="F460" s="8"/>
      <c r="G460" s="13"/>
      <c r="H460" s="8"/>
    </row>
    <row r="461" ht="14.25" customHeight="1">
      <c r="F461" s="8"/>
      <c r="G461" s="13"/>
      <c r="H461" s="8"/>
    </row>
    <row r="462" ht="14.25" customHeight="1">
      <c r="F462" s="8"/>
      <c r="G462" s="13"/>
      <c r="H462" s="8"/>
    </row>
    <row r="463" ht="14.25" customHeight="1">
      <c r="F463" s="8"/>
      <c r="G463" s="13"/>
      <c r="H463" s="8"/>
    </row>
    <row r="464" ht="14.25" customHeight="1">
      <c r="F464" s="8"/>
      <c r="G464" s="13"/>
      <c r="H464" s="8"/>
    </row>
    <row r="465" ht="14.25" customHeight="1">
      <c r="F465" s="8"/>
      <c r="G465" s="13"/>
      <c r="H465" s="8"/>
    </row>
    <row r="466" ht="14.25" customHeight="1">
      <c r="F466" s="8"/>
      <c r="G466" s="13"/>
      <c r="H466" s="8"/>
    </row>
    <row r="467" ht="14.25" customHeight="1">
      <c r="F467" s="8"/>
      <c r="G467" s="13"/>
      <c r="H467" s="8"/>
    </row>
    <row r="468" ht="14.25" customHeight="1">
      <c r="F468" s="8"/>
      <c r="G468" s="13"/>
      <c r="H468" s="8"/>
    </row>
    <row r="469" ht="14.25" customHeight="1">
      <c r="F469" s="8"/>
      <c r="G469" s="13"/>
      <c r="H469" s="8"/>
    </row>
    <row r="470" ht="14.25" customHeight="1">
      <c r="F470" s="8"/>
      <c r="G470" s="13"/>
      <c r="H470" s="8"/>
    </row>
    <row r="471" ht="14.25" customHeight="1">
      <c r="F471" s="8"/>
      <c r="G471" s="13"/>
      <c r="H471" s="8"/>
    </row>
    <row r="472" ht="14.25" customHeight="1">
      <c r="F472" s="8"/>
      <c r="G472" s="13"/>
      <c r="H472" s="8"/>
    </row>
    <row r="473" ht="14.25" customHeight="1">
      <c r="F473" s="8"/>
      <c r="G473" s="13"/>
      <c r="H473" s="8"/>
    </row>
    <row r="474" ht="14.25" customHeight="1">
      <c r="F474" s="8"/>
      <c r="G474" s="13"/>
      <c r="H474" s="8"/>
    </row>
    <row r="475" ht="14.25" customHeight="1">
      <c r="F475" s="8"/>
      <c r="G475" s="13"/>
      <c r="H475" s="8"/>
    </row>
    <row r="476" ht="14.25" customHeight="1">
      <c r="F476" s="8"/>
      <c r="G476" s="13"/>
      <c r="H476" s="8"/>
    </row>
    <row r="477" ht="14.25" customHeight="1">
      <c r="F477" s="8"/>
      <c r="G477" s="13"/>
      <c r="H477" s="8"/>
    </row>
    <row r="478" ht="14.25" customHeight="1">
      <c r="F478" s="8"/>
      <c r="G478" s="13"/>
      <c r="H478" s="8"/>
    </row>
    <row r="479" ht="14.25" customHeight="1">
      <c r="F479" s="8"/>
      <c r="G479" s="13"/>
      <c r="H479" s="8"/>
    </row>
    <row r="480" ht="14.25" customHeight="1">
      <c r="F480" s="8"/>
      <c r="G480" s="13"/>
      <c r="H480" s="8"/>
    </row>
    <row r="481" ht="14.25" customHeight="1">
      <c r="F481" s="8"/>
      <c r="G481" s="13"/>
      <c r="H481" s="8"/>
    </row>
    <row r="482" ht="14.25" customHeight="1">
      <c r="F482" s="8"/>
      <c r="G482" s="13"/>
      <c r="H482" s="8"/>
    </row>
    <row r="483" ht="14.25" customHeight="1">
      <c r="F483" s="8"/>
      <c r="G483" s="13"/>
      <c r="H483" s="8"/>
    </row>
    <row r="484" ht="14.25" customHeight="1">
      <c r="F484" s="8"/>
      <c r="G484" s="13"/>
      <c r="H484" s="8"/>
    </row>
    <row r="485" ht="14.25" customHeight="1">
      <c r="F485" s="8"/>
      <c r="G485" s="13"/>
      <c r="H485" s="8"/>
    </row>
    <row r="486" ht="14.25" customHeight="1">
      <c r="F486" s="8"/>
      <c r="G486" s="13"/>
      <c r="H486" s="8"/>
    </row>
    <row r="487" ht="14.25" customHeight="1">
      <c r="F487" s="8"/>
      <c r="G487" s="13"/>
      <c r="H487" s="8"/>
    </row>
    <row r="488" ht="14.25" customHeight="1">
      <c r="F488" s="8"/>
      <c r="G488" s="13"/>
      <c r="H488" s="8"/>
    </row>
    <row r="489" ht="14.25" customHeight="1">
      <c r="F489" s="8"/>
      <c r="G489" s="13"/>
      <c r="H489" s="8"/>
    </row>
    <row r="490" ht="14.25" customHeight="1">
      <c r="F490" s="8"/>
      <c r="G490" s="13"/>
      <c r="H490" s="8"/>
    </row>
    <row r="491" ht="14.25" customHeight="1">
      <c r="F491" s="8"/>
      <c r="G491" s="13"/>
      <c r="H491" s="8"/>
    </row>
    <row r="492" ht="14.25" customHeight="1">
      <c r="F492" s="8"/>
      <c r="G492" s="13"/>
      <c r="H492" s="8"/>
    </row>
    <row r="493" ht="14.25" customHeight="1">
      <c r="F493" s="8"/>
      <c r="G493" s="13"/>
      <c r="H493" s="8"/>
    </row>
    <row r="494" ht="14.25" customHeight="1">
      <c r="F494" s="8"/>
      <c r="G494" s="13"/>
      <c r="H494" s="8"/>
    </row>
    <row r="495" ht="14.25" customHeight="1">
      <c r="F495" s="8"/>
      <c r="G495" s="13"/>
      <c r="H495" s="8"/>
    </row>
    <row r="496" ht="14.25" customHeight="1">
      <c r="F496" s="8"/>
      <c r="G496" s="13"/>
      <c r="H496" s="8"/>
    </row>
    <row r="497" ht="14.25" customHeight="1">
      <c r="F497" s="8"/>
      <c r="G497" s="13"/>
      <c r="H497" s="8"/>
    </row>
    <row r="498" ht="14.25" customHeight="1">
      <c r="F498" s="8"/>
      <c r="G498" s="13"/>
      <c r="H498" s="8"/>
    </row>
    <row r="499" ht="14.25" customHeight="1">
      <c r="F499" s="8"/>
      <c r="G499" s="13"/>
      <c r="H499" s="8"/>
    </row>
    <row r="500" ht="14.25" customHeight="1">
      <c r="F500" s="8"/>
      <c r="G500" s="13"/>
      <c r="H500" s="8"/>
    </row>
    <row r="501" ht="14.25" customHeight="1">
      <c r="F501" s="8"/>
      <c r="G501" s="13"/>
      <c r="H501" s="8"/>
    </row>
    <row r="502" ht="14.25" customHeight="1">
      <c r="F502" s="8"/>
      <c r="G502" s="13"/>
      <c r="H502" s="8"/>
    </row>
    <row r="503" ht="14.25" customHeight="1">
      <c r="F503" s="8"/>
      <c r="G503" s="13"/>
      <c r="H503" s="8"/>
    </row>
    <row r="504" ht="14.25" customHeight="1">
      <c r="F504" s="8"/>
      <c r="G504" s="13"/>
      <c r="H504" s="8"/>
    </row>
    <row r="505" ht="14.25" customHeight="1">
      <c r="F505" s="8"/>
      <c r="G505" s="13"/>
      <c r="H505" s="8"/>
    </row>
    <row r="506" ht="14.25" customHeight="1">
      <c r="F506" s="8"/>
      <c r="G506" s="13"/>
      <c r="H506" s="8"/>
    </row>
    <row r="507" ht="14.25" customHeight="1">
      <c r="F507" s="8"/>
      <c r="G507" s="13"/>
      <c r="H507" s="8"/>
    </row>
    <row r="508" ht="14.25" customHeight="1">
      <c r="F508" s="8"/>
      <c r="G508" s="13"/>
      <c r="H508" s="8"/>
    </row>
    <row r="509" ht="14.25" customHeight="1">
      <c r="F509" s="8"/>
      <c r="G509" s="13"/>
      <c r="H509" s="8"/>
    </row>
    <row r="510" ht="14.25" customHeight="1">
      <c r="F510" s="8"/>
      <c r="G510" s="13"/>
      <c r="H510" s="8"/>
    </row>
    <row r="511" ht="14.25" customHeight="1">
      <c r="F511" s="8"/>
      <c r="G511" s="13"/>
      <c r="H511" s="8"/>
    </row>
    <row r="512" ht="14.25" customHeight="1">
      <c r="F512" s="8"/>
      <c r="G512" s="13"/>
      <c r="H512" s="8"/>
    </row>
    <row r="513" ht="14.25" customHeight="1">
      <c r="F513" s="8"/>
      <c r="G513" s="13"/>
      <c r="H513" s="8"/>
    </row>
    <row r="514" ht="14.25" customHeight="1">
      <c r="F514" s="8"/>
      <c r="G514" s="13"/>
      <c r="H514" s="8"/>
    </row>
    <row r="515" ht="14.25" customHeight="1">
      <c r="F515" s="8"/>
      <c r="G515" s="13"/>
      <c r="H515" s="8"/>
    </row>
    <row r="516" ht="14.25" customHeight="1">
      <c r="F516" s="8"/>
      <c r="G516" s="13"/>
      <c r="H516" s="8"/>
    </row>
    <row r="517" ht="14.25" customHeight="1">
      <c r="F517" s="8"/>
      <c r="G517" s="13"/>
      <c r="H517" s="8"/>
    </row>
    <row r="518" ht="14.25" customHeight="1">
      <c r="F518" s="8"/>
      <c r="G518" s="13"/>
      <c r="H518" s="8"/>
    </row>
    <row r="519" ht="14.25" customHeight="1">
      <c r="F519" s="8"/>
      <c r="G519" s="13"/>
      <c r="H519" s="8"/>
    </row>
    <row r="520" ht="14.25" customHeight="1">
      <c r="F520" s="8"/>
      <c r="G520" s="13"/>
      <c r="H520" s="8"/>
    </row>
    <row r="521" ht="14.25" customHeight="1">
      <c r="F521" s="8"/>
      <c r="G521" s="13"/>
      <c r="H521" s="8"/>
    </row>
    <row r="522" ht="14.25" customHeight="1">
      <c r="F522" s="8"/>
      <c r="G522" s="13"/>
      <c r="H522" s="8"/>
    </row>
    <row r="523" ht="14.25" customHeight="1">
      <c r="F523" s="8"/>
      <c r="G523" s="13"/>
      <c r="H523" s="8"/>
    </row>
    <row r="524" ht="14.25" customHeight="1">
      <c r="F524" s="8"/>
      <c r="G524" s="13"/>
      <c r="H524" s="8"/>
    </row>
    <row r="525" ht="14.25" customHeight="1">
      <c r="F525" s="8"/>
      <c r="G525" s="13"/>
      <c r="H525" s="8"/>
    </row>
    <row r="526" ht="14.25" customHeight="1">
      <c r="F526" s="8"/>
      <c r="G526" s="13"/>
      <c r="H526" s="8"/>
    </row>
    <row r="527" ht="14.25" customHeight="1">
      <c r="F527" s="8"/>
      <c r="G527" s="13"/>
      <c r="H527" s="8"/>
    </row>
    <row r="528" ht="14.25" customHeight="1">
      <c r="F528" s="8"/>
      <c r="G528" s="13"/>
      <c r="H528" s="8"/>
    </row>
    <row r="529" ht="14.25" customHeight="1">
      <c r="F529" s="8"/>
      <c r="G529" s="13"/>
      <c r="H529" s="8"/>
    </row>
    <row r="530" ht="14.25" customHeight="1">
      <c r="F530" s="8"/>
      <c r="G530" s="13"/>
      <c r="H530" s="8"/>
    </row>
    <row r="531" ht="14.25" customHeight="1">
      <c r="F531" s="8"/>
      <c r="G531" s="13"/>
      <c r="H531" s="8"/>
    </row>
    <row r="532" ht="14.25" customHeight="1">
      <c r="F532" s="8"/>
      <c r="G532" s="13"/>
      <c r="H532" s="8"/>
    </row>
    <row r="533" ht="14.25" customHeight="1">
      <c r="F533" s="8"/>
      <c r="G533" s="13"/>
      <c r="H533" s="8"/>
    </row>
    <row r="534" ht="14.25" customHeight="1">
      <c r="F534" s="8"/>
      <c r="G534" s="13"/>
      <c r="H534" s="8"/>
    </row>
    <row r="535" ht="14.25" customHeight="1">
      <c r="F535" s="8"/>
      <c r="G535" s="13"/>
      <c r="H535" s="8"/>
    </row>
    <row r="536" ht="14.25" customHeight="1">
      <c r="F536" s="8"/>
      <c r="G536" s="13"/>
      <c r="H536" s="8"/>
    </row>
    <row r="537" ht="14.25" customHeight="1">
      <c r="F537" s="8"/>
      <c r="G537" s="13"/>
      <c r="H537" s="8"/>
    </row>
    <row r="538" ht="14.25" customHeight="1">
      <c r="F538" s="8"/>
      <c r="G538" s="13"/>
      <c r="H538" s="8"/>
    </row>
    <row r="539" ht="14.25" customHeight="1">
      <c r="F539" s="8"/>
      <c r="G539" s="13"/>
      <c r="H539" s="8"/>
    </row>
    <row r="540" ht="14.25" customHeight="1">
      <c r="F540" s="8"/>
      <c r="G540" s="13"/>
      <c r="H540" s="8"/>
    </row>
    <row r="541" ht="14.25" customHeight="1">
      <c r="F541" s="8"/>
      <c r="G541" s="13"/>
      <c r="H541" s="8"/>
    </row>
    <row r="542" ht="14.25" customHeight="1">
      <c r="F542" s="8"/>
      <c r="G542" s="13"/>
      <c r="H542" s="8"/>
    </row>
    <row r="543" ht="14.25" customHeight="1">
      <c r="F543" s="8"/>
      <c r="G543" s="13"/>
      <c r="H543" s="8"/>
    </row>
    <row r="544" ht="14.25" customHeight="1">
      <c r="F544" s="8"/>
      <c r="G544" s="13"/>
      <c r="H544" s="8"/>
    </row>
    <row r="545" ht="14.25" customHeight="1">
      <c r="F545" s="8"/>
      <c r="G545" s="13"/>
      <c r="H545" s="8"/>
    </row>
    <row r="546" ht="14.25" customHeight="1">
      <c r="F546" s="8"/>
      <c r="G546" s="13"/>
      <c r="H546" s="8"/>
    </row>
    <row r="547" ht="14.25" customHeight="1">
      <c r="F547" s="8"/>
      <c r="G547" s="13"/>
      <c r="H547" s="8"/>
    </row>
    <row r="548" ht="14.25" customHeight="1">
      <c r="F548" s="8"/>
      <c r="G548" s="13"/>
      <c r="H548" s="8"/>
    </row>
    <row r="549" ht="14.25" customHeight="1">
      <c r="F549" s="8"/>
      <c r="G549" s="13"/>
      <c r="H549" s="8"/>
    </row>
    <row r="550" ht="14.25" customHeight="1">
      <c r="F550" s="8"/>
      <c r="G550" s="13"/>
      <c r="H550" s="8"/>
    </row>
    <row r="551" ht="14.25" customHeight="1">
      <c r="F551" s="8"/>
      <c r="G551" s="13"/>
      <c r="H551" s="8"/>
    </row>
    <row r="552" ht="14.25" customHeight="1">
      <c r="F552" s="8"/>
      <c r="G552" s="13"/>
      <c r="H552" s="8"/>
    </row>
    <row r="553" ht="14.25" customHeight="1">
      <c r="F553" s="8"/>
      <c r="G553" s="13"/>
      <c r="H553" s="8"/>
    </row>
    <row r="554" ht="14.25" customHeight="1">
      <c r="F554" s="8"/>
      <c r="G554" s="13"/>
      <c r="H554" s="8"/>
    </row>
    <row r="555" ht="14.25" customHeight="1">
      <c r="F555" s="8"/>
      <c r="G555" s="13"/>
      <c r="H555" s="8"/>
    </row>
    <row r="556" ht="14.25" customHeight="1">
      <c r="F556" s="8"/>
      <c r="G556" s="13"/>
      <c r="H556" s="8"/>
    </row>
    <row r="557" ht="14.25" customHeight="1">
      <c r="F557" s="8"/>
      <c r="G557" s="13"/>
      <c r="H557" s="8"/>
    </row>
    <row r="558" ht="14.25" customHeight="1">
      <c r="F558" s="8"/>
      <c r="G558" s="13"/>
      <c r="H558" s="8"/>
    </row>
    <row r="559" ht="14.25" customHeight="1">
      <c r="F559" s="8"/>
      <c r="G559" s="13"/>
      <c r="H559" s="8"/>
    </row>
    <row r="560" ht="14.25" customHeight="1">
      <c r="F560" s="8"/>
      <c r="G560" s="13"/>
      <c r="H560" s="8"/>
    </row>
    <row r="561" ht="14.25" customHeight="1">
      <c r="F561" s="8"/>
      <c r="G561" s="13"/>
      <c r="H561" s="8"/>
    </row>
    <row r="562" ht="14.25" customHeight="1">
      <c r="F562" s="8"/>
      <c r="G562" s="13"/>
      <c r="H562" s="8"/>
    </row>
    <row r="563" ht="14.25" customHeight="1">
      <c r="F563" s="8"/>
      <c r="G563" s="13"/>
      <c r="H563" s="8"/>
    </row>
    <row r="564" ht="14.25" customHeight="1">
      <c r="F564" s="8"/>
      <c r="G564" s="13"/>
      <c r="H564" s="8"/>
    </row>
    <row r="565" ht="14.25" customHeight="1">
      <c r="F565" s="8"/>
      <c r="G565" s="13"/>
      <c r="H565" s="8"/>
    </row>
    <row r="566" ht="14.25" customHeight="1">
      <c r="F566" s="8"/>
      <c r="G566" s="13"/>
      <c r="H566" s="8"/>
    </row>
    <row r="567" ht="14.25" customHeight="1">
      <c r="F567" s="8"/>
      <c r="G567" s="13"/>
      <c r="H567" s="8"/>
    </row>
    <row r="568" ht="14.25" customHeight="1">
      <c r="F568" s="8"/>
      <c r="G568" s="13"/>
      <c r="H568" s="8"/>
    </row>
    <row r="569" ht="14.25" customHeight="1">
      <c r="F569" s="8"/>
      <c r="G569" s="13"/>
      <c r="H569" s="8"/>
    </row>
    <row r="570" ht="14.25" customHeight="1">
      <c r="F570" s="8"/>
      <c r="G570" s="13"/>
      <c r="H570" s="8"/>
    </row>
    <row r="571" ht="14.25" customHeight="1">
      <c r="F571" s="8"/>
      <c r="G571" s="13"/>
      <c r="H571" s="8"/>
    </row>
    <row r="572" ht="14.25" customHeight="1">
      <c r="F572" s="8"/>
      <c r="G572" s="13"/>
      <c r="H572" s="8"/>
    </row>
    <row r="573" ht="14.25" customHeight="1">
      <c r="F573" s="8"/>
      <c r="G573" s="13"/>
      <c r="H573" s="8"/>
    </row>
    <row r="574" ht="14.25" customHeight="1">
      <c r="F574" s="8"/>
      <c r="G574" s="13"/>
      <c r="H574" s="8"/>
    </row>
    <row r="575" ht="14.25" customHeight="1">
      <c r="F575" s="8"/>
      <c r="G575" s="13"/>
      <c r="H575" s="8"/>
    </row>
    <row r="576" ht="14.25" customHeight="1">
      <c r="F576" s="8"/>
      <c r="G576" s="13"/>
      <c r="H576" s="8"/>
    </row>
    <row r="577" ht="14.25" customHeight="1">
      <c r="F577" s="8"/>
      <c r="G577" s="13"/>
      <c r="H577" s="8"/>
    </row>
    <row r="578" ht="14.25" customHeight="1">
      <c r="F578" s="8"/>
      <c r="G578" s="13"/>
      <c r="H578" s="8"/>
    </row>
    <row r="579" ht="14.25" customHeight="1">
      <c r="F579" s="8"/>
      <c r="G579" s="13"/>
      <c r="H579" s="8"/>
    </row>
    <row r="580" ht="14.25" customHeight="1">
      <c r="F580" s="8"/>
      <c r="G580" s="13"/>
      <c r="H580" s="8"/>
    </row>
    <row r="581" ht="14.25" customHeight="1">
      <c r="F581" s="8"/>
      <c r="G581" s="13"/>
      <c r="H581" s="8"/>
    </row>
    <row r="582" ht="14.25" customHeight="1">
      <c r="F582" s="8"/>
      <c r="G582" s="13"/>
      <c r="H582" s="8"/>
    </row>
    <row r="583" ht="14.25" customHeight="1">
      <c r="F583" s="8"/>
      <c r="G583" s="13"/>
      <c r="H583" s="8"/>
    </row>
    <row r="584" ht="14.25" customHeight="1">
      <c r="F584" s="8"/>
      <c r="G584" s="13"/>
      <c r="H584" s="8"/>
    </row>
    <row r="585" ht="14.25" customHeight="1">
      <c r="F585" s="8"/>
      <c r="G585" s="13"/>
      <c r="H585" s="8"/>
    </row>
    <row r="586" ht="14.25" customHeight="1">
      <c r="F586" s="8"/>
      <c r="G586" s="13"/>
      <c r="H586" s="8"/>
    </row>
    <row r="587" ht="14.25" customHeight="1">
      <c r="F587" s="8"/>
      <c r="G587" s="13"/>
      <c r="H587" s="8"/>
    </row>
    <row r="588" ht="14.25" customHeight="1">
      <c r="F588" s="8"/>
      <c r="G588" s="13"/>
      <c r="H588" s="8"/>
    </row>
    <row r="589" ht="14.25" customHeight="1">
      <c r="F589" s="8"/>
      <c r="G589" s="13"/>
      <c r="H589" s="8"/>
    </row>
    <row r="590" ht="14.25" customHeight="1">
      <c r="F590" s="8"/>
      <c r="G590" s="13"/>
      <c r="H590" s="8"/>
    </row>
    <row r="591" ht="14.25" customHeight="1">
      <c r="F591" s="8"/>
      <c r="G591" s="13"/>
      <c r="H591" s="8"/>
    </row>
    <row r="592" ht="14.25" customHeight="1">
      <c r="F592" s="8"/>
      <c r="G592" s="13"/>
      <c r="H592" s="8"/>
    </row>
    <row r="593" ht="14.25" customHeight="1">
      <c r="F593" s="8"/>
      <c r="G593" s="13"/>
      <c r="H593" s="8"/>
    </row>
    <row r="594" ht="14.25" customHeight="1">
      <c r="F594" s="8"/>
      <c r="G594" s="13"/>
      <c r="H594" s="8"/>
    </row>
    <row r="595" ht="14.25" customHeight="1">
      <c r="F595" s="8"/>
      <c r="G595" s="13"/>
      <c r="H595" s="8"/>
    </row>
    <row r="596" ht="14.25" customHeight="1">
      <c r="F596" s="8"/>
      <c r="G596" s="13"/>
      <c r="H596" s="8"/>
    </row>
    <row r="597" ht="14.25" customHeight="1">
      <c r="F597" s="8"/>
      <c r="G597" s="13"/>
      <c r="H597" s="8"/>
    </row>
    <row r="598" ht="14.25" customHeight="1">
      <c r="F598" s="8"/>
      <c r="G598" s="13"/>
      <c r="H598" s="8"/>
    </row>
    <row r="599" ht="14.25" customHeight="1">
      <c r="F599" s="8"/>
      <c r="G599" s="13"/>
      <c r="H599" s="8"/>
    </row>
    <row r="600" ht="14.25" customHeight="1">
      <c r="F600" s="8"/>
      <c r="G600" s="13"/>
      <c r="H600" s="8"/>
    </row>
    <row r="601" ht="14.25" customHeight="1">
      <c r="F601" s="8"/>
      <c r="G601" s="13"/>
      <c r="H601" s="8"/>
    </row>
    <row r="602" ht="14.25" customHeight="1">
      <c r="F602" s="8"/>
      <c r="G602" s="13"/>
      <c r="H602" s="8"/>
    </row>
    <row r="603" ht="14.25" customHeight="1">
      <c r="F603" s="8"/>
      <c r="G603" s="13"/>
      <c r="H603" s="8"/>
    </row>
    <row r="604" ht="14.25" customHeight="1">
      <c r="F604" s="8"/>
      <c r="G604" s="13"/>
      <c r="H604" s="8"/>
    </row>
    <row r="605" ht="14.25" customHeight="1">
      <c r="F605" s="8"/>
      <c r="G605" s="13"/>
      <c r="H605" s="8"/>
    </row>
    <row r="606" ht="14.25" customHeight="1">
      <c r="F606" s="8"/>
      <c r="G606" s="13"/>
      <c r="H606" s="8"/>
    </row>
    <row r="607" ht="14.25" customHeight="1">
      <c r="F607" s="8"/>
      <c r="G607" s="13"/>
      <c r="H607" s="8"/>
    </row>
    <row r="608" ht="14.25" customHeight="1">
      <c r="F608" s="8"/>
      <c r="G608" s="13"/>
      <c r="H608" s="8"/>
    </row>
    <row r="609" ht="14.25" customHeight="1">
      <c r="F609" s="8"/>
      <c r="G609" s="13"/>
      <c r="H609" s="8"/>
    </row>
    <row r="610" ht="14.25" customHeight="1">
      <c r="F610" s="8"/>
      <c r="G610" s="13"/>
      <c r="H610" s="8"/>
    </row>
    <row r="611" ht="14.25" customHeight="1">
      <c r="F611" s="8"/>
      <c r="G611" s="13"/>
      <c r="H611" s="8"/>
    </row>
    <row r="612" ht="14.25" customHeight="1">
      <c r="F612" s="8"/>
      <c r="G612" s="13"/>
      <c r="H612" s="8"/>
    </row>
    <row r="613" ht="14.25" customHeight="1">
      <c r="F613" s="8"/>
      <c r="G613" s="13"/>
      <c r="H613" s="8"/>
    </row>
    <row r="614" ht="14.25" customHeight="1">
      <c r="F614" s="8"/>
      <c r="G614" s="13"/>
      <c r="H614" s="8"/>
    </row>
    <row r="615" ht="14.25" customHeight="1">
      <c r="F615" s="8"/>
      <c r="G615" s="13"/>
      <c r="H615" s="8"/>
    </row>
    <row r="616" ht="14.25" customHeight="1">
      <c r="F616" s="8"/>
      <c r="G616" s="13"/>
      <c r="H616" s="8"/>
    </row>
    <row r="617" ht="14.25" customHeight="1">
      <c r="F617" s="8"/>
      <c r="G617" s="13"/>
      <c r="H617" s="8"/>
    </row>
    <row r="618" ht="14.25" customHeight="1">
      <c r="F618" s="8"/>
      <c r="G618" s="13"/>
      <c r="H618" s="8"/>
    </row>
    <row r="619" ht="14.25" customHeight="1">
      <c r="F619" s="8"/>
      <c r="G619" s="13"/>
      <c r="H619" s="8"/>
    </row>
    <row r="620" ht="14.25" customHeight="1">
      <c r="F620" s="8"/>
      <c r="G620" s="13"/>
      <c r="H620" s="8"/>
    </row>
    <row r="621" ht="14.25" customHeight="1">
      <c r="F621" s="8"/>
      <c r="G621" s="13"/>
      <c r="H621" s="8"/>
    </row>
    <row r="622" ht="14.25" customHeight="1">
      <c r="F622" s="8"/>
      <c r="G622" s="13"/>
      <c r="H622" s="8"/>
    </row>
    <row r="623" ht="14.25" customHeight="1">
      <c r="F623" s="8"/>
      <c r="G623" s="13"/>
      <c r="H623" s="8"/>
    </row>
    <row r="624" ht="14.25" customHeight="1">
      <c r="F624" s="8"/>
      <c r="G624" s="13"/>
      <c r="H624" s="8"/>
    </row>
    <row r="625" ht="14.25" customHeight="1">
      <c r="F625" s="8"/>
      <c r="G625" s="13"/>
      <c r="H625" s="8"/>
    </row>
    <row r="626" ht="14.25" customHeight="1">
      <c r="F626" s="8"/>
      <c r="G626" s="13"/>
      <c r="H626" s="8"/>
    </row>
    <row r="627" ht="14.25" customHeight="1">
      <c r="F627" s="8"/>
      <c r="G627" s="13"/>
      <c r="H627" s="8"/>
    </row>
    <row r="628" ht="14.25" customHeight="1">
      <c r="F628" s="8"/>
      <c r="G628" s="13"/>
      <c r="H628" s="8"/>
    </row>
    <row r="629" ht="14.25" customHeight="1">
      <c r="F629" s="8"/>
      <c r="G629" s="13"/>
      <c r="H629" s="8"/>
    </row>
    <row r="630" ht="14.25" customHeight="1">
      <c r="F630" s="8"/>
      <c r="G630" s="13"/>
      <c r="H630" s="8"/>
    </row>
    <row r="631" ht="14.25" customHeight="1">
      <c r="F631" s="8"/>
      <c r="G631" s="13"/>
      <c r="H631" s="8"/>
    </row>
    <row r="632" ht="14.25" customHeight="1">
      <c r="F632" s="8"/>
      <c r="G632" s="13"/>
      <c r="H632" s="8"/>
    </row>
    <row r="633" ht="14.25" customHeight="1">
      <c r="F633" s="8"/>
      <c r="G633" s="13"/>
      <c r="H633" s="8"/>
    </row>
    <row r="634" ht="14.25" customHeight="1">
      <c r="F634" s="8"/>
      <c r="G634" s="13"/>
      <c r="H634" s="8"/>
    </row>
    <row r="635" ht="14.25" customHeight="1">
      <c r="F635" s="8"/>
      <c r="G635" s="13"/>
      <c r="H635" s="8"/>
    </row>
    <row r="636" ht="14.25" customHeight="1">
      <c r="F636" s="8"/>
      <c r="G636" s="13"/>
      <c r="H636" s="8"/>
    </row>
    <row r="637" ht="14.25" customHeight="1">
      <c r="F637" s="8"/>
      <c r="G637" s="13"/>
      <c r="H637" s="8"/>
    </row>
    <row r="638" ht="14.25" customHeight="1">
      <c r="F638" s="8"/>
      <c r="G638" s="13"/>
      <c r="H638" s="8"/>
    </row>
    <row r="639" ht="14.25" customHeight="1">
      <c r="F639" s="8"/>
      <c r="G639" s="13"/>
      <c r="H639" s="8"/>
    </row>
    <row r="640" ht="14.25" customHeight="1">
      <c r="F640" s="8"/>
      <c r="G640" s="13"/>
      <c r="H640" s="8"/>
    </row>
    <row r="641" ht="14.25" customHeight="1">
      <c r="F641" s="8"/>
      <c r="G641" s="13"/>
      <c r="H641" s="8"/>
    </row>
    <row r="642" ht="14.25" customHeight="1">
      <c r="F642" s="8"/>
      <c r="G642" s="13"/>
      <c r="H642" s="8"/>
    </row>
    <row r="643" ht="14.25" customHeight="1">
      <c r="F643" s="8"/>
      <c r="G643" s="13"/>
      <c r="H643" s="8"/>
    </row>
    <row r="644" ht="14.25" customHeight="1">
      <c r="F644" s="8"/>
      <c r="G644" s="13"/>
      <c r="H644" s="8"/>
    </row>
    <row r="645" ht="14.25" customHeight="1">
      <c r="F645" s="8"/>
      <c r="G645" s="13"/>
      <c r="H645" s="8"/>
    </row>
    <row r="646" ht="14.25" customHeight="1">
      <c r="F646" s="8"/>
      <c r="G646" s="13"/>
      <c r="H646" s="8"/>
    </row>
    <row r="647" ht="14.25" customHeight="1">
      <c r="F647" s="8"/>
      <c r="G647" s="13"/>
      <c r="H647" s="8"/>
    </row>
    <row r="648" ht="14.25" customHeight="1">
      <c r="F648" s="8"/>
      <c r="G648" s="13"/>
      <c r="H648" s="8"/>
    </row>
    <row r="649" ht="14.25" customHeight="1">
      <c r="F649" s="8"/>
      <c r="G649" s="13"/>
      <c r="H649" s="8"/>
    </row>
    <row r="650" ht="14.25" customHeight="1">
      <c r="F650" s="8"/>
      <c r="G650" s="13"/>
      <c r="H650" s="8"/>
    </row>
    <row r="651" ht="14.25" customHeight="1">
      <c r="F651" s="8"/>
      <c r="G651" s="13"/>
      <c r="H651" s="8"/>
    </row>
    <row r="652" ht="14.25" customHeight="1">
      <c r="F652" s="8"/>
      <c r="G652" s="13"/>
      <c r="H652" s="8"/>
    </row>
    <row r="653" ht="14.25" customHeight="1">
      <c r="F653" s="8"/>
      <c r="G653" s="13"/>
      <c r="H653" s="8"/>
    </row>
    <row r="654" ht="14.25" customHeight="1">
      <c r="F654" s="8"/>
      <c r="G654" s="13"/>
      <c r="H654" s="8"/>
    </row>
    <row r="655" ht="14.25" customHeight="1">
      <c r="F655" s="8"/>
      <c r="G655" s="13"/>
      <c r="H655" s="8"/>
    </row>
    <row r="656" ht="14.25" customHeight="1">
      <c r="F656" s="8"/>
      <c r="G656" s="13"/>
      <c r="H656" s="8"/>
    </row>
    <row r="657" ht="14.25" customHeight="1">
      <c r="F657" s="8"/>
      <c r="G657" s="13"/>
      <c r="H657" s="8"/>
    </row>
    <row r="658" ht="14.25" customHeight="1">
      <c r="F658" s="8"/>
      <c r="G658" s="13"/>
      <c r="H658" s="8"/>
    </row>
    <row r="659" ht="14.25" customHeight="1">
      <c r="F659" s="8"/>
      <c r="G659" s="13"/>
      <c r="H659" s="8"/>
    </row>
    <row r="660" ht="14.25" customHeight="1">
      <c r="F660" s="8"/>
      <c r="G660" s="13"/>
      <c r="H660" s="8"/>
    </row>
    <row r="661" ht="14.25" customHeight="1">
      <c r="F661" s="8"/>
      <c r="G661" s="13"/>
      <c r="H661" s="8"/>
    </row>
    <row r="662" ht="14.25" customHeight="1">
      <c r="F662" s="8"/>
      <c r="G662" s="13"/>
      <c r="H662" s="8"/>
    </row>
    <row r="663" ht="14.25" customHeight="1">
      <c r="F663" s="8"/>
      <c r="G663" s="13"/>
      <c r="H663" s="8"/>
    </row>
    <row r="664" ht="14.25" customHeight="1">
      <c r="F664" s="8"/>
      <c r="G664" s="13"/>
      <c r="H664" s="8"/>
    </row>
    <row r="665" ht="14.25" customHeight="1">
      <c r="F665" s="8"/>
      <c r="G665" s="13"/>
      <c r="H665" s="8"/>
    </row>
    <row r="666" ht="14.25" customHeight="1">
      <c r="F666" s="8"/>
      <c r="G666" s="13"/>
      <c r="H666" s="8"/>
    </row>
    <row r="667" ht="14.25" customHeight="1">
      <c r="F667" s="8"/>
      <c r="G667" s="13"/>
      <c r="H667" s="8"/>
    </row>
    <row r="668" ht="14.25" customHeight="1">
      <c r="F668" s="8"/>
      <c r="G668" s="13"/>
      <c r="H668" s="8"/>
    </row>
    <row r="669" ht="14.25" customHeight="1">
      <c r="F669" s="8"/>
      <c r="G669" s="13"/>
      <c r="H669" s="8"/>
    </row>
    <row r="670" ht="14.25" customHeight="1">
      <c r="F670" s="8"/>
      <c r="G670" s="13"/>
      <c r="H670" s="8"/>
    </row>
    <row r="671" ht="14.25" customHeight="1">
      <c r="F671" s="8"/>
      <c r="G671" s="13"/>
      <c r="H671" s="8"/>
    </row>
    <row r="672" ht="14.25" customHeight="1">
      <c r="F672" s="8"/>
      <c r="G672" s="13"/>
      <c r="H672" s="8"/>
    </row>
    <row r="673" ht="14.25" customHeight="1">
      <c r="F673" s="8"/>
      <c r="G673" s="13"/>
      <c r="H673" s="8"/>
    </row>
    <row r="674" ht="14.25" customHeight="1">
      <c r="F674" s="8"/>
      <c r="G674" s="13"/>
      <c r="H674" s="8"/>
    </row>
    <row r="675" ht="14.25" customHeight="1">
      <c r="F675" s="8"/>
      <c r="G675" s="13"/>
      <c r="H675" s="8"/>
    </row>
    <row r="676" ht="14.25" customHeight="1">
      <c r="F676" s="8"/>
      <c r="G676" s="13"/>
      <c r="H676" s="8"/>
    </row>
    <row r="677" ht="14.25" customHeight="1">
      <c r="F677" s="8"/>
      <c r="G677" s="13"/>
      <c r="H677" s="8"/>
    </row>
    <row r="678" ht="14.25" customHeight="1">
      <c r="F678" s="8"/>
      <c r="G678" s="13"/>
      <c r="H678" s="8"/>
    </row>
    <row r="679" ht="14.25" customHeight="1">
      <c r="F679" s="8"/>
      <c r="G679" s="13"/>
      <c r="H679" s="8"/>
    </row>
    <row r="680" ht="14.25" customHeight="1">
      <c r="F680" s="8"/>
      <c r="G680" s="13"/>
      <c r="H680" s="8"/>
    </row>
    <row r="681" ht="14.25" customHeight="1">
      <c r="F681" s="8"/>
      <c r="G681" s="13"/>
      <c r="H681" s="8"/>
    </row>
    <row r="682" ht="14.25" customHeight="1">
      <c r="F682" s="8"/>
      <c r="G682" s="13"/>
      <c r="H682" s="8"/>
    </row>
    <row r="683" ht="14.25" customHeight="1">
      <c r="F683" s="8"/>
      <c r="G683" s="13"/>
      <c r="H683" s="8"/>
    </row>
    <row r="684" ht="14.25" customHeight="1">
      <c r="F684" s="8"/>
      <c r="G684" s="13"/>
      <c r="H684" s="8"/>
    </row>
    <row r="685" ht="14.25" customHeight="1">
      <c r="F685" s="8"/>
      <c r="G685" s="13"/>
      <c r="H685" s="8"/>
    </row>
    <row r="686" ht="14.25" customHeight="1">
      <c r="F686" s="8"/>
      <c r="G686" s="13"/>
      <c r="H686" s="8"/>
    </row>
    <row r="687" ht="14.25" customHeight="1">
      <c r="F687" s="8"/>
      <c r="G687" s="13"/>
      <c r="H687" s="8"/>
    </row>
    <row r="688" ht="14.25" customHeight="1">
      <c r="F688" s="8"/>
      <c r="G688" s="13"/>
      <c r="H688" s="8"/>
    </row>
    <row r="689" ht="14.25" customHeight="1">
      <c r="F689" s="8"/>
      <c r="G689" s="13"/>
      <c r="H689" s="8"/>
    </row>
    <row r="690" ht="14.25" customHeight="1">
      <c r="F690" s="8"/>
      <c r="G690" s="13"/>
      <c r="H690" s="8"/>
    </row>
    <row r="691" ht="14.25" customHeight="1">
      <c r="F691" s="8"/>
      <c r="G691" s="13"/>
      <c r="H691" s="8"/>
    </row>
    <row r="692" ht="14.25" customHeight="1">
      <c r="F692" s="8"/>
      <c r="G692" s="13"/>
      <c r="H692" s="8"/>
    </row>
    <row r="693" ht="14.25" customHeight="1">
      <c r="F693" s="8"/>
      <c r="G693" s="13"/>
      <c r="H693" s="8"/>
    </row>
    <row r="694" ht="14.25" customHeight="1">
      <c r="F694" s="8"/>
      <c r="G694" s="13"/>
      <c r="H694" s="8"/>
    </row>
    <row r="695" ht="14.25" customHeight="1">
      <c r="F695" s="8"/>
      <c r="G695" s="13"/>
      <c r="H695" s="8"/>
    </row>
    <row r="696" ht="14.25" customHeight="1">
      <c r="F696" s="8"/>
      <c r="G696" s="13"/>
      <c r="H696" s="8"/>
    </row>
    <row r="697" ht="14.25" customHeight="1">
      <c r="F697" s="8"/>
      <c r="G697" s="13"/>
      <c r="H697" s="8"/>
    </row>
    <row r="698" ht="14.25" customHeight="1">
      <c r="F698" s="8"/>
      <c r="G698" s="13"/>
      <c r="H698" s="8"/>
    </row>
    <row r="699" ht="14.25" customHeight="1">
      <c r="F699" s="8"/>
      <c r="G699" s="13"/>
      <c r="H699" s="8"/>
    </row>
    <row r="700" ht="14.25" customHeight="1">
      <c r="F700" s="8"/>
      <c r="G700" s="13"/>
      <c r="H700" s="8"/>
    </row>
    <row r="701" ht="14.25" customHeight="1">
      <c r="F701" s="8"/>
      <c r="G701" s="13"/>
      <c r="H701" s="8"/>
    </row>
    <row r="702" ht="14.25" customHeight="1">
      <c r="F702" s="8"/>
      <c r="G702" s="13"/>
      <c r="H702" s="8"/>
    </row>
    <row r="703" ht="14.25" customHeight="1">
      <c r="F703" s="8"/>
      <c r="G703" s="13"/>
      <c r="H703" s="8"/>
    </row>
    <row r="704" ht="14.25" customHeight="1">
      <c r="F704" s="8"/>
      <c r="G704" s="13"/>
      <c r="H704" s="8"/>
    </row>
    <row r="705" ht="14.25" customHeight="1">
      <c r="F705" s="8"/>
      <c r="G705" s="13"/>
      <c r="H705" s="8"/>
    </row>
    <row r="706" ht="14.25" customHeight="1">
      <c r="F706" s="8"/>
      <c r="G706" s="13"/>
      <c r="H706" s="8"/>
    </row>
    <row r="707" ht="14.25" customHeight="1">
      <c r="F707" s="8"/>
      <c r="G707" s="13"/>
      <c r="H707" s="8"/>
    </row>
    <row r="708" ht="14.25" customHeight="1">
      <c r="F708" s="8"/>
      <c r="G708" s="13"/>
      <c r="H708" s="8"/>
    </row>
    <row r="709" ht="14.25" customHeight="1">
      <c r="F709" s="8"/>
      <c r="G709" s="13"/>
      <c r="H709" s="8"/>
    </row>
    <row r="710" ht="14.25" customHeight="1">
      <c r="F710" s="8"/>
      <c r="G710" s="13"/>
      <c r="H710" s="8"/>
    </row>
    <row r="711" ht="14.25" customHeight="1">
      <c r="F711" s="8"/>
      <c r="G711" s="13"/>
      <c r="H711" s="8"/>
    </row>
    <row r="712" ht="14.25" customHeight="1">
      <c r="F712" s="8"/>
      <c r="G712" s="13"/>
      <c r="H712" s="8"/>
    </row>
    <row r="713" ht="14.25" customHeight="1">
      <c r="F713" s="8"/>
      <c r="G713" s="13"/>
      <c r="H713" s="8"/>
    </row>
    <row r="714" ht="14.25" customHeight="1">
      <c r="F714" s="8"/>
      <c r="G714" s="13"/>
      <c r="H714" s="8"/>
    </row>
    <row r="715" ht="14.25" customHeight="1">
      <c r="F715" s="8"/>
      <c r="G715" s="13"/>
      <c r="H715" s="8"/>
    </row>
    <row r="716" ht="14.25" customHeight="1">
      <c r="F716" s="8"/>
      <c r="G716" s="13"/>
      <c r="H716" s="8"/>
    </row>
    <row r="717" ht="14.25" customHeight="1">
      <c r="F717" s="8"/>
      <c r="G717" s="13"/>
      <c r="H717" s="8"/>
    </row>
    <row r="718" ht="14.25" customHeight="1">
      <c r="F718" s="8"/>
      <c r="G718" s="13"/>
      <c r="H718" s="8"/>
    </row>
    <row r="719" ht="14.25" customHeight="1">
      <c r="F719" s="8"/>
      <c r="G719" s="13"/>
      <c r="H719" s="8"/>
    </row>
    <row r="720" ht="14.25" customHeight="1">
      <c r="F720" s="8"/>
      <c r="G720" s="13"/>
      <c r="H720" s="8"/>
    </row>
    <row r="721" ht="14.25" customHeight="1">
      <c r="F721" s="8"/>
      <c r="G721" s="13"/>
      <c r="H721" s="8"/>
    </row>
    <row r="722" ht="14.25" customHeight="1">
      <c r="F722" s="8"/>
      <c r="G722" s="13"/>
      <c r="H722" s="8"/>
    </row>
    <row r="723" ht="14.25" customHeight="1">
      <c r="F723" s="8"/>
      <c r="G723" s="13"/>
      <c r="H723" s="8"/>
    </row>
    <row r="724" ht="14.25" customHeight="1">
      <c r="F724" s="8"/>
      <c r="G724" s="13"/>
      <c r="H724" s="8"/>
    </row>
    <row r="725" ht="14.25" customHeight="1">
      <c r="F725" s="8"/>
      <c r="G725" s="13"/>
      <c r="H725" s="8"/>
    </row>
    <row r="726" ht="14.25" customHeight="1">
      <c r="F726" s="8"/>
      <c r="G726" s="13"/>
      <c r="H726" s="8"/>
    </row>
    <row r="727" ht="14.25" customHeight="1">
      <c r="F727" s="8"/>
      <c r="G727" s="13"/>
      <c r="H727" s="8"/>
    </row>
    <row r="728" ht="14.25" customHeight="1">
      <c r="F728" s="8"/>
      <c r="G728" s="13"/>
      <c r="H728" s="8"/>
    </row>
    <row r="729" ht="14.25" customHeight="1">
      <c r="F729" s="8"/>
      <c r="G729" s="13"/>
      <c r="H729" s="8"/>
    </row>
    <row r="730" ht="14.25" customHeight="1">
      <c r="F730" s="8"/>
      <c r="G730" s="13"/>
      <c r="H730" s="8"/>
    </row>
    <row r="731" ht="14.25" customHeight="1">
      <c r="F731" s="8"/>
      <c r="G731" s="13"/>
      <c r="H731" s="8"/>
    </row>
    <row r="732" ht="14.25" customHeight="1">
      <c r="F732" s="8"/>
      <c r="G732" s="13"/>
      <c r="H732" s="8"/>
    </row>
    <row r="733" ht="14.25" customHeight="1">
      <c r="F733" s="8"/>
      <c r="G733" s="13"/>
      <c r="H733" s="8"/>
    </row>
    <row r="734" ht="14.25" customHeight="1">
      <c r="F734" s="8"/>
      <c r="G734" s="13"/>
      <c r="H734" s="8"/>
    </row>
    <row r="735" ht="14.25" customHeight="1">
      <c r="F735" s="8"/>
      <c r="G735" s="13"/>
      <c r="H735" s="8"/>
    </row>
    <row r="736" ht="14.25" customHeight="1">
      <c r="F736" s="8"/>
      <c r="G736" s="13"/>
      <c r="H736" s="8"/>
    </row>
    <row r="737" ht="14.25" customHeight="1">
      <c r="F737" s="8"/>
      <c r="G737" s="13"/>
      <c r="H737" s="8"/>
    </row>
    <row r="738" ht="14.25" customHeight="1">
      <c r="F738" s="8"/>
      <c r="G738" s="13"/>
      <c r="H738" s="8"/>
    </row>
    <row r="739" ht="14.25" customHeight="1">
      <c r="F739" s="8"/>
      <c r="G739" s="13"/>
      <c r="H739" s="8"/>
    </row>
    <row r="740" ht="14.25" customHeight="1">
      <c r="F740" s="8"/>
      <c r="G740" s="13"/>
      <c r="H740" s="8"/>
    </row>
    <row r="741" ht="14.25" customHeight="1">
      <c r="F741" s="8"/>
      <c r="G741" s="13"/>
      <c r="H741" s="8"/>
    </row>
    <row r="742" ht="14.25" customHeight="1">
      <c r="F742" s="8"/>
      <c r="G742" s="13"/>
      <c r="H742" s="8"/>
    </row>
    <row r="743" ht="14.25" customHeight="1">
      <c r="F743" s="8"/>
      <c r="G743" s="13"/>
      <c r="H743" s="8"/>
    </row>
    <row r="744" ht="14.25" customHeight="1">
      <c r="F744" s="8"/>
      <c r="G744" s="13"/>
      <c r="H744" s="8"/>
    </row>
    <row r="745" ht="14.25" customHeight="1">
      <c r="F745" s="8"/>
      <c r="G745" s="13"/>
      <c r="H745" s="8"/>
    </row>
    <row r="746" ht="14.25" customHeight="1">
      <c r="F746" s="8"/>
      <c r="G746" s="13"/>
      <c r="H746" s="8"/>
    </row>
    <row r="747" ht="14.25" customHeight="1">
      <c r="F747" s="8"/>
      <c r="G747" s="13"/>
      <c r="H747" s="8"/>
    </row>
    <row r="748" ht="14.25" customHeight="1">
      <c r="F748" s="8"/>
      <c r="G748" s="13"/>
      <c r="H748" s="8"/>
    </row>
    <row r="749" ht="14.25" customHeight="1">
      <c r="F749" s="8"/>
      <c r="G749" s="13"/>
      <c r="H749" s="8"/>
    </row>
    <row r="750" ht="14.25" customHeight="1">
      <c r="F750" s="8"/>
      <c r="G750" s="13"/>
      <c r="H750" s="8"/>
    </row>
    <row r="751" ht="14.25" customHeight="1">
      <c r="F751" s="8"/>
      <c r="G751" s="13"/>
      <c r="H751" s="8"/>
    </row>
    <row r="752" ht="14.25" customHeight="1">
      <c r="F752" s="8"/>
      <c r="G752" s="13"/>
      <c r="H752" s="8"/>
    </row>
    <row r="753" ht="14.25" customHeight="1">
      <c r="F753" s="8"/>
      <c r="G753" s="13"/>
      <c r="H753" s="8"/>
    </row>
    <row r="754" ht="14.25" customHeight="1">
      <c r="F754" s="8"/>
      <c r="G754" s="13"/>
      <c r="H754" s="8"/>
    </row>
    <row r="755" ht="14.25" customHeight="1">
      <c r="F755" s="8"/>
      <c r="G755" s="13"/>
      <c r="H755" s="8"/>
    </row>
    <row r="756" ht="14.25" customHeight="1">
      <c r="F756" s="8"/>
      <c r="G756" s="13"/>
      <c r="H756" s="8"/>
    </row>
    <row r="757" ht="14.25" customHeight="1">
      <c r="F757" s="8"/>
      <c r="G757" s="13"/>
      <c r="H757" s="8"/>
    </row>
    <row r="758" ht="14.25" customHeight="1">
      <c r="F758" s="8"/>
      <c r="G758" s="13"/>
      <c r="H758" s="8"/>
    </row>
    <row r="759" ht="14.25" customHeight="1">
      <c r="F759" s="8"/>
      <c r="G759" s="13"/>
      <c r="H759" s="8"/>
    </row>
    <row r="760" ht="14.25" customHeight="1">
      <c r="F760" s="8"/>
      <c r="G760" s="13"/>
      <c r="H760" s="8"/>
    </row>
    <row r="761" ht="14.25" customHeight="1">
      <c r="F761" s="8"/>
      <c r="G761" s="13"/>
      <c r="H761" s="8"/>
    </row>
    <row r="762" ht="14.25" customHeight="1">
      <c r="F762" s="8"/>
      <c r="G762" s="13"/>
      <c r="H762" s="8"/>
    </row>
    <row r="763" ht="14.25" customHeight="1">
      <c r="F763" s="8"/>
      <c r="G763" s="13"/>
      <c r="H763" s="8"/>
    </row>
    <row r="764" ht="14.25" customHeight="1">
      <c r="F764" s="8"/>
      <c r="G764" s="13"/>
      <c r="H764" s="8"/>
    </row>
    <row r="765" ht="14.25" customHeight="1">
      <c r="F765" s="8"/>
      <c r="G765" s="13"/>
      <c r="H765" s="8"/>
    </row>
    <row r="766" ht="14.25" customHeight="1">
      <c r="F766" s="8"/>
      <c r="G766" s="13"/>
      <c r="H766" s="8"/>
    </row>
    <row r="767" ht="14.25" customHeight="1">
      <c r="F767" s="8"/>
      <c r="G767" s="13"/>
      <c r="H767" s="8"/>
    </row>
    <row r="768" ht="14.25" customHeight="1">
      <c r="F768" s="8"/>
      <c r="G768" s="13"/>
      <c r="H768" s="8"/>
    </row>
    <row r="769" ht="14.25" customHeight="1">
      <c r="F769" s="8"/>
      <c r="G769" s="13"/>
      <c r="H769" s="8"/>
    </row>
    <row r="770" ht="14.25" customHeight="1">
      <c r="F770" s="8"/>
      <c r="G770" s="13"/>
      <c r="H770" s="8"/>
    </row>
    <row r="771" ht="14.25" customHeight="1">
      <c r="F771" s="8"/>
      <c r="G771" s="13"/>
      <c r="H771" s="8"/>
    </row>
    <row r="772" ht="14.25" customHeight="1">
      <c r="F772" s="8"/>
      <c r="G772" s="13"/>
      <c r="H772" s="8"/>
    </row>
    <row r="773" ht="14.25" customHeight="1">
      <c r="F773" s="8"/>
      <c r="G773" s="13"/>
      <c r="H773" s="8"/>
    </row>
    <row r="774" ht="14.25" customHeight="1">
      <c r="F774" s="8"/>
      <c r="G774" s="13"/>
      <c r="H774" s="8"/>
    </row>
    <row r="775" ht="14.25" customHeight="1">
      <c r="F775" s="8"/>
      <c r="G775" s="13"/>
      <c r="H775" s="8"/>
    </row>
    <row r="776" ht="14.25" customHeight="1">
      <c r="F776" s="8"/>
      <c r="G776" s="13"/>
      <c r="H776" s="8"/>
    </row>
    <row r="777" ht="14.25" customHeight="1">
      <c r="F777" s="8"/>
      <c r="G777" s="13"/>
      <c r="H777" s="8"/>
    </row>
    <row r="778" ht="14.25" customHeight="1">
      <c r="F778" s="8"/>
      <c r="G778" s="13"/>
      <c r="H778" s="8"/>
    </row>
    <row r="779" ht="14.25" customHeight="1">
      <c r="F779" s="8"/>
      <c r="G779" s="13"/>
      <c r="H779" s="8"/>
    </row>
    <row r="780" ht="14.25" customHeight="1">
      <c r="F780" s="8"/>
      <c r="G780" s="13"/>
      <c r="H780" s="8"/>
    </row>
    <row r="781" ht="14.25" customHeight="1">
      <c r="F781" s="8"/>
      <c r="G781" s="13"/>
      <c r="H781" s="8"/>
    </row>
    <row r="782" ht="14.25" customHeight="1">
      <c r="F782" s="8"/>
      <c r="G782" s="13"/>
      <c r="H782" s="8"/>
    </row>
    <row r="783" ht="14.25" customHeight="1">
      <c r="F783" s="8"/>
      <c r="G783" s="13"/>
      <c r="H783" s="8"/>
    </row>
    <row r="784" ht="14.25" customHeight="1">
      <c r="F784" s="8"/>
      <c r="G784" s="13"/>
      <c r="H784" s="8"/>
    </row>
    <row r="785" ht="14.25" customHeight="1">
      <c r="F785" s="8"/>
      <c r="G785" s="13"/>
      <c r="H785" s="8"/>
    </row>
    <row r="786" ht="14.25" customHeight="1">
      <c r="F786" s="8"/>
      <c r="G786" s="13"/>
      <c r="H786" s="8"/>
    </row>
    <row r="787" ht="14.25" customHeight="1">
      <c r="F787" s="8"/>
      <c r="G787" s="13"/>
      <c r="H787" s="8"/>
    </row>
    <row r="788" ht="14.25" customHeight="1">
      <c r="F788" s="8"/>
      <c r="G788" s="13"/>
      <c r="H788" s="8"/>
    </row>
    <row r="789" ht="14.25" customHeight="1">
      <c r="F789" s="8"/>
      <c r="G789" s="13"/>
      <c r="H789" s="8"/>
    </row>
    <row r="790" ht="14.25" customHeight="1">
      <c r="F790" s="8"/>
      <c r="G790" s="13"/>
      <c r="H790" s="8"/>
    </row>
    <row r="791" ht="14.25" customHeight="1">
      <c r="F791" s="8"/>
      <c r="G791" s="13"/>
      <c r="H791" s="8"/>
    </row>
    <row r="792" ht="14.25" customHeight="1">
      <c r="F792" s="8"/>
      <c r="G792" s="13"/>
      <c r="H792" s="8"/>
    </row>
    <row r="793" ht="14.25" customHeight="1">
      <c r="F793" s="8"/>
      <c r="G793" s="13"/>
      <c r="H793" s="8"/>
    </row>
    <row r="794" ht="14.25" customHeight="1">
      <c r="F794" s="8"/>
      <c r="G794" s="13"/>
      <c r="H794" s="8"/>
    </row>
    <row r="795" ht="14.25" customHeight="1">
      <c r="F795" s="8"/>
      <c r="G795" s="13"/>
      <c r="H795" s="8"/>
    </row>
    <row r="796" ht="14.25" customHeight="1">
      <c r="F796" s="8"/>
      <c r="G796" s="13"/>
      <c r="H796" s="8"/>
    </row>
    <row r="797" ht="14.25" customHeight="1">
      <c r="F797" s="8"/>
      <c r="G797" s="13"/>
      <c r="H797" s="8"/>
    </row>
    <row r="798" ht="14.25" customHeight="1">
      <c r="F798" s="8"/>
      <c r="G798" s="13"/>
      <c r="H798" s="8"/>
    </row>
    <row r="799" ht="14.25" customHeight="1">
      <c r="F799" s="8"/>
      <c r="G799" s="13"/>
      <c r="H799" s="8"/>
    </row>
    <row r="800" ht="14.25" customHeight="1">
      <c r="F800" s="8"/>
      <c r="G800" s="13"/>
      <c r="H800" s="8"/>
    </row>
    <row r="801" ht="14.25" customHeight="1">
      <c r="F801" s="8"/>
      <c r="G801" s="13"/>
      <c r="H801" s="8"/>
    </row>
    <row r="802" ht="14.25" customHeight="1">
      <c r="F802" s="8"/>
      <c r="G802" s="13"/>
      <c r="H802" s="8"/>
    </row>
    <row r="803" ht="14.25" customHeight="1">
      <c r="F803" s="8"/>
      <c r="G803" s="13"/>
      <c r="H803" s="8"/>
    </row>
    <row r="804" ht="14.25" customHeight="1">
      <c r="F804" s="8"/>
      <c r="G804" s="13"/>
      <c r="H804" s="8"/>
    </row>
    <row r="805" ht="14.25" customHeight="1">
      <c r="F805" s="8"/>
      <c r="G805" s="13"/>
      <c r="H805" s="8"/>
    </row>
    <row r="806" ht="14.25" customHeight="1">
      <c r="F806" s="8"/>
      <c r="G806" s="13"/>
      <c r="H806" s="8"/>
    </row>
    <row r="807" ht="14.25" customHeight="1">
      <c r="F807" s="8"/>
      <c r="G807" s="13"/>
      <c r="H807" s="8"/>
    </row>
    <row r="808" ht="14.25" customHeight="1">
      <c r="F808" s="8"/>
      <c r="G808" s="13"/>
      <c r="H808" s="8"/>
    </row>
    <row r="809" ht="14.25" customHeight="1">
      <c r="F809" s="8"/>
      <c r="G809" s="13"/>
      <c r="H809" s="8"/>
    </row>
    <row r="810" ht="14.25" customHeight="1">
      <c r="F810" s="8"/>
      <c r="G810" s="13"/>
      <c r="H810" s="8"/>
    </row>
    <row r="811" ht="14.25" customHeight="1">
      <c r="F811" s="8"/>
      <c r="G811" s="13"/>
      <c r="H811" s="8"/>
    </row>
    <row r="812" ht="14.25" customHeight="1">
      <c r="F812" s="8"/>
      <c r="G812" s="13"/>
      <c r="H812" s="8"/>
    </row>
    <row r="813" ht="14.25" customHeight="1">
      <c r="F813" s="8"/>
      <c r="G813" s="13"/>
      <c r="H813" s="8"/>
    </row>
    <row r="814" ht="14.25" customHeight="1">
      <c r="F814" s="8"/>
      <c r="G814" s="13"/>
      <c r="H814" s="8"/>
    </row>
    <row r="815" ht="14.25" customHeight="1">
      <c r="F815" s="8"/>
      <c r="G815" s="13"/>
      <c r="H815" s="8"/>
    </row>
    <row r="816" ht="14.25" customHeight="1">
      <c r="F816" s="8"/>
      <c r="G816" s="13"/>
      <c r="H816" s="8"/>
    </row>
    <row r="817" ht="14.25" customHeight="1">
      <c r="F817" s="8"/>
      <c r="G817" s="13"/>
      <c r="H817" s="8"/>
    </row>
    <row r="818" ht="14.25" customHeight="1">
      <c r="F818" s="8"/>
      <c r="G818" s="13"/>
      <c r="H818" s="8"/>
    </row>
    <row r="819" ht="14.25" customHeight="1">
      <c r="F819" s="8"/>
      <c r="G819" s="13"/>
      <c r="H819" s="8"/>
    </row>
    <row r="820" ht="14.25" customHeight="1">
      <c r="F820" s="8"/>
      <c r="G820" s="13"/>
      <c r="H820" s="8"/>
    </row>
    <row r="821" ht="14.25" customHeight="1">
      <c r="F821" s="8"/>
      <c r="G821" s="13"/>
      <c r="H821" s="8"/>
    </row>
    <row r="822" ht="14.25" customHeight="1">
      <c r="F822" s="8"/>
      <c r="G822" s="13"/>
      <c r="H822" s="8"/>
    </row>
    <row r="823" ht="14.25" customHeight="1">
      <c r="F823" s="8"/>
      <c r="G823" s="13"/>
      <c r="H823" s="8"/>
    </row>
    <row r="824" ht="14.25" customHeight="1">
      <c r="F824" s="8"/>
      <c r="G824" s="13"/>
      <c r="H824" s="8"/>
    </row>
    <row r="825" ht="14.25" customHeight="1">
      <c r="F825" s="8"/>
      <c r="G825" s="13"/>
      <c r="H825" s="8"/>
    </row>
    <row r="826" ht="14.25" customHeight="1">
      <c r="F826" s="8"/>
      <c r="G826" s="13"/>
      <c r="H826" s="8"/>
    </row>
    <row r="827" ht="14.25" customHeight="1">
      <c r="F827" s="8"/>
      <c r="G827" s="13"/>
      <c r="H827" s="8"/>
    </row>
    <row r="828" ht="14.25" customHeight="1">
      <c r="F828" s="8"/>
      <c r="G828" s="13"/>
      <c r="H828" s="8"/>
    </row>
    <row r="829" ht="14.25" customHeight="1">
      <c r="F829" s="8"/>
      <c r="G829" s="13"/>
      <c r="H829" s="8"/>
    </row>
    <row r="830" ht="14.25" customHeight="1">
      <c r="F830" s="8"/>
      <c r="G830" s="13"/>
      <c r="H830" s="8"/>
    </row>
    <row r="831" ht="14.25" customHeight="1">
      <c r="F831" s="8"/>
      <c r="G831" s="13"/>
      <c r="H831" s="8"/>
    </row>
    <row r="832" ht="14.25" customHeight="1">
      <c r="F832" s="8"/>
      <c r="G832" s="13"/>
      <c r="H832" s="8"/>
    </row>
    <row r="833" ht="14.25" customHeight="1">
      <c r="F833" s="8"/>
      <c r="G833" s="13"/>
      <c r="H833" s="8"/>
    </row>
    <row r="834" ht="14.25" customHeight="1">
      <c r="F834" s="8"/>
      <c r="G834" s="13"/>
      <c r="H834" s="8"/>
    </row>
    <row r="835" ht="14.25" customHeight="1">
      <c r="F835" s="8"/>
      <c r="G835" s="13"/>
      <c r="H835" s="8"/>
    </row>
    <row r="836" ht="14.25" customHeight="1">
      <c r="F836" s="8"/>
      <c r="G836" s="13"/>
      <c r="H836" s="8"/>
    </row>
    <row r="837" ht="14.25" customHeight="1">
      <c r="F837" s="8"/>
      <c r="G837" s="13"/>
      <c r="H837" s="8"/>
    </row>
    <row r="838" ht="14.25" customHeight="1">
      <c r="F838" s="8"/>
      <c r="G838" s="13"/>
      <c r="H838" s="8"/>
    </row>
    <row r="839" ht="14.25" customHeight="1">
      <c r="F839" s="8"/>
      <c r="G839" s="13"/>
      <c r="H839" s="8"/>
    </row>
    <row r="840" ht="14.25" customHeight="1">
      <c r="F840" s="8"/>
      <c r="G840" s="13"/>
      <c r="H840" s="8"/>
    </row>
    <row r="841" ht="14.25" customHeight="1">
      <c r="F841" s="8"/>
      <c r="G841" s="13"/>
      <c r="H841" s="8"/>
    </row>
    <row r="842" ht="14.25" customHeight="1">
      <c r="F842" s="8"/>
      <c r="G842" s="13"/>
      <c r="H842" s="8"/>
    </row>
    <row r="843" ht="14.25" customHeight="1">
      <c r="F843" s="8"/>
      <c r="G843" s="13"/>
      <c r="H843" s="8"/>
    </row>
    <row r="844" ht="14.25" customHeight="1">
      <c r="F844" s="8"/>
      <c r="G844" s="13"/>
      <c r="H844" s="8"/>
    </row>
    <row r="845" ht="14.25" customHeight="1">
      <c r="F845" s="8"/>
      <c r="G845" s="13"/>
      <c r="H845" s="8"/>
    </row>
    <row r="846" ht="14.25" customHeight="1">
      <c r="F846" s="8"/>
      <c r="G846" s="13"/>
      <c r="H846" s="8"/>
    </row>
    <row r="847" ht="14.25" customHeight="1">
      <c r="F847" s="8"/>
      <c r="G847" s="13"/>
      <c r="H847" s="8"/>
    </row>
    <row r="848" ht="14.25" customHeight="1">
      <c r="F848" s="8"/>
      <c r="G848" s="13"/>
      <c r="H848" s="8"/>
    </row>
    <row r="849" ht="14.25" customHeight="1">
      <c r="F849" s="8"/>
      <c r="G849" s="13"/>
      <c r="H849" s="8"/>
    </row>
    <row r="850" ht="14.25" customHeight="1">
      <c r="F850" s="8"/>
      <c r="G850" s="13"/>
      <c r="H850" s="8"/>
    </row>
    <row r="851" ht="14.25" customHeight="1">
      <c r="F851" s="8"/>
      <c r="G851" s="13"/>
      <c r="H851" s="8"/>
    </row>
    <row r="852" ht="14.25" customHeight="1">
      <c r="F852" s="8"/>
      <c r="G852" s="13"/>
      <c r="H852" s="8"/>
    </row>
    <row r="853" ht="14.25" customHeight="1">
      <c r="F853" s="8"/>
      <c r="G853" s="13"/>
      <c r="H853" s="8"/>
    </row>
    <row r="854" ht="14.25" customHeight="1">
      <c r="F854" s="8"/>
      <c r="G854" s="13"/>
      <c r="H854" s="8"/>
    </row>
    <row r="855" ht="14.25" customHeight="1">
      <c r="F855" s="8"/>
      <c r="G855" s="13"/>
      <c r="H855" s="8"/>
    </row>
    <row r="856" ht="14.25" customHeight="1">
      <c r="F856" s="8"/>
      <c r="G856" s="13"/>
      <c r="H856" s="8"/>
    </row>
    <row r="857" ht="14.25" customHeight="1">
      <c r="F857" s="8"/>
      <c r="G857" s="13"/>
      <c r="H857" s="8"/>
    </row>
    <row r="858" ht="14.25" customHeight="1">
      <c r="F858" s="8"/>
      <c r="G858" s="13"/>
      <c r="H858" s="8"/>
    </row>
    <row r="859" ht="14.25" customHeight="1">
      <c r="F859" s="8"/>
      <c r="G859" s="13"/>
      <c r="H859" s="8"/>
    </row>
    <row r="860" ht="14.25" customHeight="1">
      <c r="F860" s="8"/>
      <c r="G860" s="13"/>
      <c r="H860" s="8"/>
    </row>
    <row r="861" ht="14.25" customHeight="1">
      <c r="F861" s="8"/>
      <c r="G861" s="13"/>
      <c r="H861" s="8"/>
    </row>
    <row r="862" ht="14.25" customHeight="1">
      <c r="F862" s="8"/>
      <c r="G862" s="13"/>
      <c r="H862" s="8"/>
    </row>
    <row r="863" ht="14.25" customHeight="1">
      <c r="F863" s="8"/>
      <c r="G863" s="13"/>
      <c r="H863" s="8"/>
    </row>
    <row r="864" ht="14.25" customHeight="1">
      <c r="F864" s="8"/>
      <c r="G864" s="13"/>
      <c r="H864" s="8"/>
    </row>
    <row r="865" ht="14.25" customHeight="1">
      <c r="F865" s="8"/>
      <c r="G865" s="13"/>
      <c r="H865" s="8"/>
    </row>
    <row r="866" ht="14.25" customHeight="1">
      <c r="F866" s="8"/>
      <c r="G866" s="13"/>
      <c r="H866" s="8"/>
    </row>
    <row r="867" ht="14.25" customHeight="1">
      <c r="F867" s="8"/>
      <c r="G867" s="13"/>
      <c r="H867" s="8"/>
    </row>
    <row r="868" ht="14.25" customHeight="1">
      <c r="F868" s="8"/>
      <c r="G868" s="13"/>
      <c r="H868" s="8"/>
    </row>
    <row r="869" ht="14.25" customHeight="1">
      <c r="F869" s="8"/>
      <c r="G869" s="13"/>
      <c r="H869" s="8"/>
    </row>
    <row r="870" ht="14.25" customHeight="1">
      <c r="F870" s="8"/>
      <c r="G870" s="13"/>
      <c r="H870" s="8"/>
    </row>
    <row r="871" ht="14.25" customHeight="1">
      <c r="F871" s="8"/>
      <c r="G871" s="13"/>
      <c r="H871" s="8"/>
    </row>
    <row r="872" ht="14.25" customHeight="1">
      <c r="F872" s="8"/>
      <c r="G872" s="13"/>
      <c r="H872" s="8"/>
    </row>
    <row r="873" ht="14.25" customHeight="1">
      <c r="F873" s="8"/>
      <c r="G873" s="13"/>
      <c r="H873" s="8"/>
    </row>
    <row r="874" ht="14.25" customHeight="1">
      <c r="F874" s="8"/>
      <c r="G874" s="13"/>
      <c r="H874" s="8"/>
    </row>
    <row r="875" ht="14.25" customHeight="1">
      <c r="F875" s="8"/>
      <c r="G875" s="13"/>
      <c r="H875" s="8"/>
    </row>
    <row r="876" ht="14.25" customHeight="1">
      <c r="F876" s="8"/>
      <c r="G876" s="13"/>
      <c r="H876" s="8"/>
    </row>
    <row r="877" ht="14.25" customHeight="1">
      <c r="F877" s="8"/>
      <c r="G877" s="13"/>
      <c r="H877" s="8"/>
    </row>
    <row r="878" ht="14.25" customHeight="1">
      <c r="F878" s="8"/>
      <c r="G878" s="13"/>
      <c r="H878" s="8"/>
    </row>
    <row r="879" ht="14.25" customHeight="1">
      <c r="F879" s="8"/>
      <c r="G879" s="13"/>
      <c r="H879" s="8"/>
    </row>
    <row r="880" ht="14.25" customHeight="1">
      <c r="F880" s="8"/>
      <c r="G880" s="13"/>
      <c r="H880" s="8"/>
    </row>
    <row r="881" ht="14.25" customHeight="1">
      <c r="F881" s="8"/>
      <c r="G881" s="13"/>
      <c r="H881" s="8"/>
    </row>
    <row r="882" ht="14.25" customHeight="1">
      <c r="F882" s="8"/>
      <c r="G882" s="13"/>
      <c r="H882" s="8"/>
    </row>
    <row r="883" ht="14.25" customHeight="1">
      <c r="F883" s="8"/>
      <c r="G883" s="13"/>
      <c r="H883" s="8"/>
    </row>
    <row r="884" ht="14.25" customHeight="1">
      <c r="F884" s="8"/>
      <c r="G884" s="13"/>
      <c r="H884" s="8"/>
    </row>
    <row r="885" ht="14.25" customHeight="1">
      <c r="F885" s="8"/>
      <c r="G885" s="13"/>
      <c r="H885" s="8"/>
    </row>
    <row r="886" ht="14.25" customHeight="1">
      <c r="F886" s="8"/>
      <c r="G886" s="13"/>
      <c r="H886" s="8"/>
    </row>
    <row r="887" ht="14.25" customHeight="1">
      <c r="F887" s="8"/>
      <c r="G887" s="13"/>
      <c r="H887" s="8"/>
    </row>
    <row r="888" ht="14.25" customHeight="1">
      <c r="F888" s="8"/>
      <c r="G888" s="13"/>
      <c r="H888" s="8"/>
    </row>
    <row r="889" ht="14.25" customHeight="1">
      <c r="F889" s="8"/>
      <c r="G889" s="13"/>
      <c r="H889" s="8"/>
    </row>
    <row r="890" ht="14.25" customHeight="1">
      <c r="F890" s="8"/>
      <c r="G890" s="13"/>
      <c r="H890" s="8"/>
    </row>
    <row r="891" ht="14.25" customHeight="1">
      <c r="F891" s="8"/>
      <c r="G891" s="13"/>
      <c r="H891" s="8"/>
    </row>
    <row r="892" ht="14.25" customHeight="1">
      <c r="F892" s="8"/>
      <c r="G892" s="13"/>
      <c r="H892" s="8"/>
    </row>
    <row r="893" ht="14.25" customHeight="1">
      <c r="F893" s="8"/>
      <c r="G893" s="13"/>
      <c r="H893" s="8"/>
    </row>
    <row r="894" ht="14.25" customHeight="1">
      <c r="F894" s="8"/>
      <c r="G894" s="13"/>
      <c r="H894" s="8"/>
    </row>
    <row r="895" ht="14.25" customHeight="1">
      <c r="F895" s="8"/>
      <c r="G895" s="13"/>
      <c r="H895" s="8"/>
    </row>
    <row r="896" ht="14.25" customHeight="1">
      <c r="F896" s="8"/>
      <c r="G896" s="13"/>
      <c r="H896" s="8"/>
    </row>
    <row r="897" ht="14.25" customHeight="1">
      <c r="F897" s="8"/>
      <c r="G897" s="13"/>
      <c r="H897" s="8"/>
    </row>
    <row r="898" ht="14.25" customHeight="1">
      <c r="F898" s="8"/>
      <c r="G898" s="13"/>
      <c r="H898" s="8"/>
    </row>
    <row r="899" ht="14.25" customHeight="1">
      <c r="F899" s="8"/>
      <c r="G899" s="13"/>
      <c r="H899" s="8"/>
    </row>
    <row r="900" ht="14.25" customHeight="1">
      <c r="F900" s="8"/>
      <c r="G900" s="13"/>
      <c r="H900" s="8"/>
    </row>
    <row r="901" ht="14.25" customHeight="1">
      <c r="F901" s="8"/>
      <c r="G901" s="13"/>
      <c r="H901" s="8"/>
    </row>
    <row r="902" ht="14.25" customHeight="1">
      <c r="F902" s="8"/>
      <c r="G902" s="13"/>
      <c r="H902" s="8"/>
    </row>
    <row r="903" ht="14.25" customHeight="1">
      <c r="F903" s="8"/>
      <c r="G903" s="13"/>
      <c r="H903" s="8"/>
    </row>
    <row r="904" ht="14.25" customHeight="1">
      <c r="F904" s="8"/>
      <c r="G904" s="13"/>
      <c r="H904" s="8"/>
    </row>
    <row r="905" ht="14.25" customHeight="1">
      <c r="F905" s="8"/>
      <c r="G905" s="13"/>
      <c r="H905" s="8"/>
    </row>
    <row r="906" ht="14.25" customHeight="1">
      <c r="F906" s="8"/>
      <c r="G906" s="13"/>
      <c r="H906" s="8"/>
    </row>
    <row r="907" ht="14.25" customHeight="1">
      <c r="F907" s="8"/>
      <c r="G907" s="13"/>
      <c r="H907" s="8"/>
    </row>
    <row r="908" ht="14.25" customHeight="1">
      <c r="F908" s="8"/>
      <c r="G908" s="13"/>
      <c r="H908" s="8"/>
    </row>
    <row r="909" ht="14.25" customHeight="1">
      <c r="F909" s="8"/>
      <c r="G909" s="13"/>
      <c r="H909" s="8"/>
    </row>
    <row r="910" ht="14.25" customHeight="1">
      <c r="F910" s="8"/>
      <c r="G910" s="13"/>
      <c r="H910" s="8"/>
    </row>
    <row r="911" ht="14.25" customHeight="1">
      <c r="F911" s="8"/>
      <c r="G911" s="13"/>
      <c r="H911" s="8"/>
    </row>
    <row r="912" ht="14.25" customHeight="1">
      <c r="F912" s="8"/>
      <c r="G912" s="13"/>
      <c r="H912" s="8"/>
    </row>
    <row r="913" ht="14.25" customHeight="1">
      <c r="F913" s="8"/>
      <c r="G913" s="13"/>
      <c r="H913" s="8"/>
    </row>
    <row r="914" ht="14.25" customHeight="1">
      <c r="F914" s="8"/>
      <c r="G914" s="13"/>
      <c r="H914" s="8"/>
    </row>
    <row r="915" ht="14.25" customHeight="1">
      <c r="F915" s="8"/>
      <c r="G915" s="13"/>
      <c r="H915" s="8"/>
    </row>
    <row r="916" ht="14.25" customHeight="1">
      <c r="F916" s="8"/>
      <c r="G916" s="13"/>
      <c r="H916" s="8"/>
    </row>
    <row r="917" ht="14.25" customHeight="1">
      <c r="F917" s="8"/>
      <c r="G917" s="13"/>
      <c r="H917" s="8"/>
    </row>
    <row r="918" ht="14.25" customHeight="1">
      <c r="F918" s="8"/>
      <c r="G918" s="13"/>
      <c r="H918" s="8"/>
    </row>
    <row r="919" ht="14.25" customHeight="1">
      <c r="F919" s="8"/>
      <c r="G919" s="13"/>
      <c r="H919" s="8"/>
    </row>
    <row r="920" ht="14.25" customHeight="1">
      <c r="F920" s="8"/>
      <c r="G920" s="13"/>
      <c r="H920" s="8"/>
    </row>
    <row r="921" ht="14.25" customHeight="1">
      <c r="F921" s="8"/>
      <c r="G921" s="13"/>
      <c r="H921" s="8"/>
    </row>
    <row r="922" ht="14.25" customHeight="1">
      <c r="F922" s="8"/>
      <c r="G922" s="13"/>
      <c r="H922" s="8"/>
    </row>
    <row r="923" ht="14.25" customHeight="1">
      <c r="F923" s="8"/>
      <c r="G923" s="13"/>
      <c r="H923" s="8"/>
    </row>
    <row r="924" ht="14.25" customHeight="1">
      <c r="F924" s="8"/>
      <c r="G924" s="13"/>
      <c r="H924" s="8"/>
    </row>
    <row r="925" ht="14.25" customHeight="1">
      <c r="F925" s="8"/>
      <c r="G925" s="13"/>
      <c r="H925" s="8"/>
    </row>
    <row r="926" ht="14.25" customHeight="1">
      <c r="F926" s="8"/>
      <c r="G926" s="13"/>
      <c r="H926" s="8"/>
    </row>
    <row r="927" ht="14.25" customHeight="1">
      <c r="F927" s="8"/>
      <c r="G927" s="13"/>
      <c r="H927" s="8"/>
    </row>
    <row r="928" ht="14.25" customHeight="1">
      <c r="F928" s="8"/>
      <c r="G928" s="13"/>
      <c r="H928" s="8"/>
    </row>
    <row r="929" ht="14.25" customHeight="1">
      <c r="F929" s="8"/>
      <c r="G929" s="13"/>
      <c r="H929" s="8"/>
    </row>
    <row r="930" ht="14.25" customHeight="1">
      <c r="F930" s="8"/>
      <c r="G930" s="13"/>
      <c r="H930" s="8"/>
    </row>
    <row r="931" ht="14.25" customHeight="1">
      <c r="F931" s="8"/>
      <c r="G931" s="13"/>
      <c r="H931" s="8"/>
    </row>
    <row r="932" ht="14.25" customHeight="1">
      <c r="F932" s="8"/>
      <c r="G932" s="13"/>
      <c r="H932" s="8"/>
    </row>
    <row r="933" ht="14.25" customHeight="1">
      <c r="F933" s="8"/>
      <c r="G933" s="13"/>
      <c r="H933" s="8"/>
    </row>
    <row r="934" ht="14.25" customHeight="1">
      <c r="F934" s="8"/>
      <c r="G934" s="13"/>
      <c r="H934" s="8"/>
    </row>
    <row r="935" ht="14.25" customHeight="1">
      <c r="F935" s="8"/>
      <c r="G935" s="13"/>
      <c r="H935" s="8"/>
    </row>
    <row r="936" ht="14.25" customHeight="1">
      <c r="F936" s="8"/>
      <c r="G936" s="13"/>
      <c r="H936" s="8"/>
    </row>
    <row r="937" ht="14.25" customHeight="1">
      <c r="F937" s="8"/>
      <c r="G937" s="13"/>
      <c r="H937" s="8"/>
    </row>
    <row r="938" ht="14.25" customHeight="1">
      <c r="F938" s="8"/>
      <c r="G938" s="13"/>
      <c r="H938" s="8"/>
    </row>
    <row r="939" ht="14.25" customHeight="1">
      <c r="F939" s="8"/>
      <c r="G939" s="13"/>
      <c r="H939" s="8"/>
    </row>
    <row r="940" ht="14.25" customHeight="1">
      <c r="F940" s="8"/>
      <c r="G940" s="13"/>
      <c r="H940" s="8"/>
    </row>
    <row r="941" ht="14.25" customHeight="1">
      <c r="F941" s="8"/>
      <c r="G941" s="13"/>
      <c r="H941" s="8"/>
    </row>
    <row r="942" ht="14.25" customHeight="1">
      <c r="F942" s="8"/>
      <c r="G942" s="13"/>
      <c r="H942" s="8"/>
    </row>
    <row r="943" ht="14.25" customHeight="1">
      <c r="F943" s="8"/>
      <c r="G943" s="13"/>
      <c r="H943" s="8"/>
    </row>
    <row r="944" ht="14.25" customHeight="1">
      <c r="F944" s="8"/>
      <c r="G944" s="13"/>
      <c r="H944" s="8"/>
    </row>
    <row r="945" ht="14.25" customHeight="1">
      <c r="F945" s="8"/>
      <c r="G945" s="13"/>
      <c r="H945" s="8"/>
    </row>
    <row r="946" ht="14.25" customHeight="1">
      <c r="F946" s="8"/>
      <c r="G946" s="13"/>
      <c r="H946" s="8"/>
    </row>
    <row r="947" ht="14.25" customHeight="1">
      <c r="F947" s="8"/>
      <c r="G947" s="13"/>
      <c r="H947" s="8"/>
    </row>
    <row r="948" ht="14.25" customHeight="1">
      <c r="F948" s="8"/>
      <c r="G948" s="13"/>
      <c r="H948" s="8"/>
    </row>
    <row r="949" ht="14.25" customHeight="1">
      <c r="F949" s="8"/>
      <c r="G949" s="13"/>
      <c r="H949" s="8"/>
    </row>
    <row r="950" ht="14.25" customHeight="1">
      <c r="F950" s="8"/>
      <c r="G950" s="13"/>
      <c r="H950" s="8"/>
    </row>
    <row r="951" ht="14.25" customHeight="1">
      <c r="F951" s="8"/>
      <c r="G951" s="13"/>
      <c r="H951" s="8"/>
    </row>
    <row r="952" ht="14.25" customHeight="1">
      <c r="F952" s="8"/>
      <c r="G952" s="13"/>
      <c r="H952" s="8"/>
    </row>
    <row r="953" ht="14.25" customHeight="1">
      <c r="F953" s="8"/>
      <c r="G953" s="13"/>
      <c r="H953" s="8"/>
    </row>
    <row r="954" ht="14.25" customHeight="1">
      <c r="F954" s="8"/>
      <c r="G954" s="13"/>
      <c r="H954" s="8"/>
    </row>
    <row r="955" ht="14.25" customHeight="1">
      <c r="F955" s="8"/>
      <c r="G955" s="13"/>
      <c r="H955" s="8"/>
    </row>
    <row r="956" ht="14.25" customHeight="1">
      <c r="F956" s="8"/>
      <c r="G956" s="13"/>
      <c r="H956" s="8"/>
    </row>
    <row r="957" ht="14.25" customHeight="1">
      <c r="F957" s="8"/>
      <c r="G957" s="13"/>
      <c r="H957" s="8"/>
    </row>
    <row r="958" ht="14.25" customHeight="1">
      <c r="F958" s="8"/>
      <c r="G958" s="13"/>
      <c r="H958" s="8"/>
    </row>
    <row r="959" ht="14.25" customHeight="1">
      <c r="F959" s="8"/>
      <c r="G959" s="13"/>
      <c r="H959" s="8"/>
    </row>
    <row r="960" ht="14.25" customHeight="1">
      <c r="F960" s="8"/>
      <c r="G960" s="13"/>
      <c r="H960" s="8"/>
    </row>
    <row r="961" ht="14.25" customHeight="1">
      <c r="F961" s="8"/>
      <c r="G961" s="13"/>
      <c r="H961" s="8"/>
    </row>
    <row r="962" ht="14.25" customHeight="1">
      <c r="F962" s="8"/>
      <c r="G962" s="13"/>
      <c r="H962" s="8"/>
    </row>
    <row r="963" ht="14.25" customHeight="1">
      <c r="F963" s="8"/>
      <c r="G963" s="13"/>
      <c r="H963" s="8"/>
    </row>
    <row r="964" ht="14.25" customHeight="1">
      <c r="F964" s="8"/>
      <c r="G964" s="13"/>
      <c r="H964" s="8"/>
    </row>
    <row r="965" ht="14.25" customHeight="1">
      <c r="F965" s="8"/>
      <c r="G965" s="13"/>
      <c r="H965" s="8"/>
    </row>
    <row r="966" ht="14.25" customHeight="1">
      <c r="F966" s="8"/>
      <c r="G966" s="13"/>
      <c r="H966" s="8"/>
    </row>
    <row r="967" ht="14.25" customHeight="1">
      <c r="F967" s="8"/>
      <c r="G967" s="13"/>
      <c r="H967" s="8"/>
    </row>
    <row r="968" ht="14.25" customHeight="1">
      <c r="F968" s="8"/>
      <c r="G968" s="13"/>
      <c r="H968" s="8"/>
    </row>
    <row r="969" ht="14.25" customHeight="1">
      <c r="F969" s="8"/>
      <c r="G969" s="13"/>
      <c r="H969" s="8"/>
    </row>
    <row r="970" ht="14.25" customHeight="1">
      <c r="F970" s="8"/>
      <c r="G970" s="13"/>
      <c r="H970" s="8"/>
    </row>
    <row r="971" ht="14.25" customHeight="1">
      <c r="F971" s="8"/>
      <c r="G971" s="13"/>
      <c r="H971" s="8"/>
    </row>
    <row r="972" ht="14.25" customHeight="1">
      <c r="F972" s="8"/>
      <c r="G972" s="13"/>
      <c r="H972" s="8"/>
    </row>
    <row r="973" ht="14.25" customHeight="1">
      <c r="F973" s="8"/>
      <c r="G973" s="13"/>
      <c r="H973" s="8"/>
    </row>
    <row r="974" ht="14.25" customHeight="1">
      <c r="F974" s="8"/>
      <c r="G974" s="13"/>
      <c r="H974" s="8"/>
    </row>
    <row r="975" ht="14.25" customHeight="1">
      <c r="F975" s="8"/>
      <c r="G975" s="13"/>
      <c r="H975" s="8"/>
    </row>
    <row r="976" ht="14.25" customHeight="1">
      <c r="F976" s="8"/>
      <c r="G976" s="13"/>
      <c r="H976" s="8"/>
    </row>
    <row r="977" ht="14.25" customHeight="1">
      <c r="F977" s="8"/>
      <c r="G977" s="13"/>
      <c r="H977" s="8"/>
    </row>
    <row r="978" ht="14.25" customHeight="1">
      <c r="F978" s="8"/>
      <c r="G978" s="13"/>
      <c r="H978" s="8"/>
    </row>
    <row r="979" ht="14.25" customHeight="1">
      <c r="F979" s="8"/>
      <c r="G979" s="13"/>
      <c r="H979" s="8"/>
    </row>
    <row r="980" ht="14.25" customHeight="1">
      <c r="F980" s="8"/>
      <c r="G980" s="13"/>
      <c r="H980" s="8"/>
    </row>
    <row r="981" ht="14.25" customHeight="1">
      <c r="F981" s="8"/>
      <c r="G981" s="13"/>
      <c r="H981" s="8"/>
    </row>
    <row r="982" ht="14.25" customHeight="1">
      <c r="F982" s="8"/>
      <c r="G982" s="13"/>
      <c r="H982" s="8"/>
    </row>
    <row r="983" ht="14.25" customHeight="1">
      <c r="F983" s="8"/>
      <c r="G983" s="13"/>
      <c r="H983" s="8"/>
    </row>
    <row r="984" ht="14.25" customHeight="1">
      <c r="F984" s="8"/>
      <c r="G984" s="13"/>
      <c r="H984" s="8"/>
    </row>
    <row r="985" ht="14.25" customHeight="1">
      <c r="F985" s="8"/>
      <c r="G985" s="13"/>
      <c r="H985" s="8"/>
    </row>
    <row r="986" ht="14.25" customHeight="1">
      <c r="F986" s="8"/>
      <c r="G986" s="13"/>
      <c r="H986" s="8"/>
    </row>
    <row r="987" ht="14.25" customHeight="1">
      <c r="F987" s="8"/>
      <c r="G987" s="13"/>
      <c r="H987" s="8"/>
    </row>
    <row r="988" ht="14.25" customHeight="1">
      <c r="F988" s="8"/>
      <c r="G988" s="13"/>
      <c r="H988" s="8"/>
    </row>
    <row r="989" ht="14.25" customHeight="1">
      <c r="F989" s="8"/>
      <c r="G989" s="13"/>
      <c r="H989" s="8"/>
    </row>
    <row r="990" ht="14.25" customHeight="1">
      <c r="F990" s="8"/>
      <c r="G990" s="13"/>
      <c r="H990" s="8"/>
    </row>
    <row r="991" ht="14.25" customHeight="1">
      <c r="F991" s="8"/>
      <c r="G991" s="13"/>
      <c r="H991" s="8"/>
    </row>
    <row r="992" ht="14.25" customHeight="1">
      <c r="F992" s="8"/>
      <c r="G992" s="13"/>
      <c r="H992" s="8"/>
    </row>
    <row r="993" ht="14.25" customHeight="1">
      <c r="F993" s="8"/>
      <c r="G993" s="13"/>
      <c r="H993" s="8"/>
    </row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41.29"/>
    <col customWidth="1" min="3" max="3" width="12.0"/>
    <col customWidth="1" min="4" max="4" width="14.0"/>
    <col customWidth="1" min="5" max="5" width="11.0"/>
    <col customWidth="1" min="6" max="6" width="11.43"/>
    <col customWidth="1" min="7" max="7" width="13.0"/>
    <col customWidth="1" min="8" max="8" width="20.0"/>
    <col customWidth="1" min="9" max="13" width="8.71"/>
  </cols>
  <sheetData>
    <row r="1" ht="14.25" customHeight="1">
      <c r="A1" s="24" t="s">
        <v>180</v>
      </c>
      <c r="B1" s="25"/>
      <c r="C1" s="26"/>
      <c r="D1" s="26"/>
      <c r="E1" s="27" t="s">
        <v>181</v>
      </c>
      <c r="F1" s="27" t="s">
        <v>182</v>
      </c>
      <c r="G1" s="27" t="s">
        <v>183</v>
      </c>
    </row>
    <row r="2" ht="14.25" customHeight="1">
      <c r="A2" s="25"/>
      <c r="B2" s="25"/>
      <c r="C2" s="26"/>
      <c r="D2" s="26"/>
      <c r="E2" s="28">
        <f>SUM(G5:G1012)</f>
        <v>184</v>
      </c>
      <c r="F2" s="28">
        <f>SUMPRODUCT(C5:C1012,G5:G1012)</f>
        <v>9858000</v>
      </c>
      <c r="G2" s="28">
        <f>SUMPRODUCT(D5:D1012,G5:G1012)</f>
        <v>19460000</v>
      </c>
    </row>
    <row r="3" ht="14.25" customHeight="1">
      <c r="A3" s="25"/>
      <c r="B3" s="25"/>
      <c r="C3" s="26"/>
      <c r="D3" s="26"/>
      <c r="E3" s="25"/>
      <c r="F3" s="25">
        <f t="shared" ref="F3:G3" si="1">SUM(F5:F306)</f>
        <v>184</v>
      </c>
      <c r="G3" s="25">
        <f t="shared" si="1"/>
        <v>184</v>
      </c>
      <c r="H3" s="25"/>
    </row>
    <row r="4" ht="14.25" customHeight="1">
      <c r="A4" s="29" t="s">
        <v>184</v>
      </c>
      <c r="B4" s="29" t="s">
        <v>185</v>
      </c>
      <c r="C4" s="30" t="s">
        <v>186</v>
      </c>
      <c r="D4" s="30" t="s">
        <v>187</v>
      </c>
      <c r="E4" s="29" t="s">
        <v>188</v>
      </c>
      <c r="F4" s="29" t="s">
        <v>189</v>
      </c>
      <c r="G4" s="29" t="s">
        <v>190</v>
      </c>
      <c r="H4" s="29" t="s">
        <v>191</v>
      </c>
    </row>
    <row r="5" ht="14.25" customHeight="1">
      <c r="A5" s="31" t="s">
        <v>192</v>
      </c>
      <c r="B5" s="32" t="s">
        <v>193</v>
      </c>
      <c r="C5" s="33">
        <v>37000.0</v>
      </c>
      <c r="D5" s="33">
        <v>75000.0</v>
      </c>
      <c r="E5" s="34">
        <f t="shared" ref="E5:E102" si="2">IF(D5&gt;0,(D5-C5)/D5,0)</f>
        <v>0.5066666667</v>
      </c>
      <c r="F5" s="35">
        <v>0.0</v>
      </c>
      <c r="G5" s="35">
        <v>0.0</v>
      </c>
      <c r="H5" s="31" t="s">
        <v>194</v>
      </c>
    </row>
    <row r="6" ht="14.25" customHeight="1">
      <c r="A6" s="31" t="s">
        <v>195</v>
      </c>
      <c r="B6" s="36" t="s">
        <v>196</v>
      </c>
      <c r="C6" s="33">
        <v>37000.0</v>
      </c>
      <c r="D6" s="33">
        <v>75000.0</v>
      </c>
      <c r="E6" s="34">
        <f t="shared" si="2"/>
        <v>0.5066666667</v>
      </c>
      <c r="F6" s="35">
        <v>0.0</v>
      </c>
      <c r="G6" s="35">
        <v>0.0</v>
      </c>
      <c r="H6" s="31" t="s">
        <v>194</v>
      </c>
    </row>
    <row r="7" ht="14.25" customHeight="1">
      <c r="A7" s="31" t="s">
        <v>197</v>
      </c>
      <c r="B7" s="36" t="s">
        <v>198</v>
      </c>
      <c r="C7" s="33">
        <v>37000.0</v>
      </c>
      <c r="D7" s="33">
        <v>75000.0</v>
      </c>
      <c r="E7" s="34">
        <f t="shared" si="2"/>
        <v>0.5066666667</v>
      </c>
      <c r="F7" s="35">
        <v>0.0</v>
      </c>
      <c r="G7" s="35">
        <v>0.0</v>
      </c>
      <c r="H7" s="31" t="s">
        <v>194</v>
      </c>
    </row>
    <row r="8" ht="14.25" customHeight="1">
      <c r="A8" s="31" t="s">
        <v>199</v>
      </c>
      <c r="B8" s="36" t="s">
        <v>200</v>
      </c>
      <c r="C8" s="33">
        <v>37000.0</v>
      </c>
      <c r="D8" s="33">
        <v>75000.0</v>
      </c>
      <c r="E8" s="34">
        <f t="shared" si="2"/>
        <v>0.5066666667</v>
      </c>
      <c r="F8" s="35">
        <v>0.0</v>
      </c>
      <c r="G8" s="35">
        <v>0.0</v>
      </c>
      <c r="H8" s="31" t="s">
        <v>194</v>
      </c>
    </row>
    <row r="9" ht="14.25" customHeight="1">
      <c r="A9" s="31" t="s">
        <v>201</v>
      </c>
      <c r="B9" s="36" t="s">
        <v>202</v>
      </c>
      <c r="C9" s="33">
        <v>37000.0</v>
      </c>
      <c r="D9" s="33">
        <v>75000.0</v>
      </c>
      <c r="E9" s="34">
        <f t="shared" si="2"/>
        <v>0.5066666667</v>
      </c>
      <c r="F9" s="35">
        <v>0.0</v>
      </c>
      <c r="G9" s="35">
        <v>0.0</v>
      </c>
      <c r="H9" s="31" t="s">
        <v>194</v>
      </c>
    </row>
    <row r="10" ht="14.25" customHeight="1">
      <c r="A10" s="31" t="s">
        <v>203</v>
      </c>
      <c r="B10" s="36" t="s">
        <v>204</v>
      </c>
      <c r="C10" s="33">
        <v>37000.0</v>
      </c>
      <c r="D10" s="33">
        <v>75000.0</v>
      </c>
      <c r="E10" s="34">
        <f t="shared" si="2"/>
        <v>0.5066666667</v>
      </c>
      <c r="F10" s="35">
        <v>0.0</v>
      </c>
      <c r="G10" s="35">
        <v>0.0</v>
      </c>
      <c r="H10" s="31" t="s">
        <v>194</v>
      </c>
    </row>
    <row r="11" ht="14.25" customHeight="1">
      <c r="A11" s="31" t="s">
        <v>205</v>
      </c>
      <c r="B11" s="36" t="s">
        <v>206</v>
      </c>
      <c r="C11" s="33">
        <v>37000.0</v>
      </c>
      <c r="D11" s="33">
        <v>75000.0</v>
      </c>
      <c r="E11" s="34">
        <f t="shared" si="2"/>
        <v>0.5066666667</v>
      </c>
      <c r="F11" s="35">
        <v>0.0</v>
      </c>
      <c r="G11" s="35">
        <v>0.0</v>
      </c>
      <c r="H11" s="31" t="s">
        <v>194</v>
      </c>
    </row>
    <row r="12" ht="14.25" customHeight="1">
      <c r="A12" s="31" t="s">
        <v>207</v>
      </c>
      <c r="B12" s="36" t="s">
        <v>208</v>
      </c>
      <c r="C12" s="33">
        <v>37000.0</v>
      </c>
      <c r="D12" s="33">
        <v>75000.0</v>
      </c>
      <c r="E12" s="34">
        <f t="shared" si="2"/>
        <v>0.5066666667</v>
      </c>
      <c r="F12" s="35">
        <v>0.0</v>
      </c>
      <c r="G12" s="35">
        <v>0.0</v>
      </c>
      <c r="H12" s="31" t="s">
        <v>194</v>
      </c>
    </row>
    <row r="13" ht="14.25" customHeight="1">
      <c r="A13" s="31" t="s">
        <v>209</v>
      </c>
      <c r="B13" s="36" t="s">
        <v>210</v>
      </c>
      <c r="C13" s="33">
        <v>37000.0</v>
      </c>
      <c r="D13" s="33">
        <v>75000.0</v>
      </c>
      <c r="E13" s="34">
        <f t="shared" si="2"/>
        <v>0.5066666667</v>
      </c>
      <c r="F13" s="35">
        <v>0.0</v>
      </c>
      <c r="G13" s="35">
        <v>0.0</v>
      </c>
      <c r="H13" s="31" t="s">
        <v>194</v>
      </c>
    </row>
    <row r="14" ht="14.25" customHeight="1">
      <c r="A14" s="31" t="s">
        <v>211</v>
      </c>
      <c r="B14" s="36" t="s">
        <v>212</v>
      </c>
      <c r="C14" s="33">
        <v>37000.0</v>
      </c>
      <c r="D14" s="33">
        <v>75000.0</v>
      </c>
      <c r="E14" s="34">
        <f t="shared" si="2"/>
        <v>0.5066666667</v>
      </c>
      <c r="F14" s="35">
        <v>0.0</v>
      </c>
      <c r="G14" s="35">
        <v>0.0</v>
      </c>
      <c r="H14" s="31" t="s">
        <v>194</v>
      </c>
    </row>
    <row r="15" ht="14.25" customHeight="1">
      <c r="A15" s="31" t="s">
        <v>213</v>
      </c>
      <c r="B15" s="36" t="s">
        <v>214</v>
      </c>
      <c r="C15" s="33">
        <v>37000.0</v>
      </c>
      <c r="D15" s="33">
        <v>75000.0</v>
      </c>
      <c r="E15" s="34">
        <f t="shared" si="2"/>
        <v>0.5066666667</v>
      </c>
      <c r="F15" s="35">
        <v>0.0</v>
      </c>
      <c r="G15" s="35">
        <v>0.0</v>
      </c>
      <c r="H15" s="31" t="s">
        <v>194</v>
      </c>
    </row>
    <row r="16" ht="14.25" customHeight="1">
      <c r="A16" s="31" t="s">
        <v>215</v>
      </c>
      <c r="B16" s="36" t="s">
        <v>216</v>
      </c>
      <c r="C16" s="33">
        <v>37000.0</v>
      </c>
      <c r="D16" s="33">
        <v>75000.0</v>
      </c>
      <c r="E16" s="34">
        <f t="shared" si="2"/>
        <v>0.5066666667</v>
      </c>
      <c r="F16" s="35">
        <v>0.0</v>
      </c>
      <c r="G16" s="35">
        <v>0.0</v>
      </c>
      <c r="H16" s="31" t="s">
        <v>194</v>
      </c>
    </row>
    <row r="17" ht="14.25" customHeight="1">
      <c r="A17" s="31" t="s">
        <v>217</v>
      </c>
      <c r="B17" s="36" t="s">
        <v>218</v>
      </c>
      <c r="C17" s="33">
        <v>37000.0</v>
      </c>
      <c r="D17" s="33">
        <v>75000.0</v>
      </c>
      <c r="E17" s="34">
        <f t="shared" si="2"/>
        <v>0.5066666667</v>
      </c>
      <c r="F17" s="35">
        <v>0.0</v>
      </c>
      <c r="G17" s="35">
        <v>0.0</v>
      </c>
      <c r="H17" s="31" t="s">
        <v>194</v>
      </c>
    </row>
    <row r="18" ht="14.25" customHeight="1">
      <c r="A18" s="31" t="s">
        <v>219</v>
      </c>
      <c r="B18" s="36" t="s">
        <v>220</v>
      </c>
      <c r="C18" s="33">
        <v>37000.0</v>
      </c>
      <c r="D18" s="33">
        <v>75000.0</v>
      </c>
      <c r="E18" s="34">
        <f t="shared" si="2"/>
        <v>0.5066666667</v>
      </c>
      <c r="F18" s="35">
        <v>0.0</v>
      </c>
      <c r="G18" s="35">
        <v>0.0</v>
      </c>
      <c r="H18" s="31" t="s">
        <v>194</v>
      </c>
    </row>
    <row r="19" ht="14.25" customHeight="1">
      <c r="A19" s="31" t="s">
        <v>221</v>
      </c>
      <c r="B19" s="36" t="s">
        <v>222</v>
      </c>
      <c r="C19" s="33">
        <v>37000.0</v>
      </c>
      <c r="D19" s="33">
        <v>75000.0</v>
      </c>
      <c r="E19" s="34">
        <f t="shared" si="2"/>
        <v>0.5066666667</v>
      </c>
      <c r="F19" s="35">
        <v>0.0</v>
      </c>
      <c r="G19" s="35">
        <v>0.0</v>
      </c>
      <c r="H19" s="31" t="s">
        <v>194</v>
      </c>
    </row>
    <row r="20" ht="14.25" customHeight="1">
      <c r="A20" s="31" t="s">
        <v>223</v>
      </c>
      <c r="B20" s="36" t="s">
        <v>224</v>
      </c>
      <c r="C20" s="33">
        <v>37000.0</v>
      </c>
      <c r="D20" s="33">
        <v>75000.0</v>
      </c>
      <c r="E20" s="34">
        <f t="shared" si="2"/>
        <v>0.5066666667</v>
      </c>
      <c r="F20" s="35">
        <v>0.0</v>
      </c>
      <c r="G20" s="35">
        <v>0.0</v>
      </c>
      <c r="H20" s="31" t="s">
        <v>194</v>
      </c>
    </row>
    <row r="21" ht="14.25" customHeight="1">
      <c r="A21" s="31" t="s">
        <v>225</v>
      </c>
      <c r="B21" s="36" t="s">
        <v>226</v>
      </c>
      <c r="C21" s="33">
        <v>37000.0</v>
      </c>
      <c r="D21" s="33">
        <v>75000.0</v>
      </c>
      <c r="E21" s="34">
        <f t="shared" si="2"/>
        <v>0.5066666667</v>
      </c>
      <c r="F21" s="35">
        <v>0.0</v>
      </c>
      <c r="G21" s="35">
        <v>0.0</v>
      </c>
      <c r="H21" s="31" t="s">
        <v>194</v>
      </c>
    </row>
    <row r="22" ht="14.25" customHeight="1">
      <c r="A22" s="31" t="s">
        <v>227</v>
      </c>
      <c r="B22" s="36" t="s">
        <v>228</v>
      </c>
      <c r="C22" s="33">
        <v>37000.0</v>
      </c>
      <c r="D22" s="33">
        <v>75000.0</v>
      </c>
      <c r="E22" s="34">
        <f t="shared" si="2"/>
        <v>0.5066666667</v>
      </c>
      <c r="F22" s="35">
        <v>0.0</v>
      </c>
      <c r="G22" s="35">
        <v>0.0</v>
      </c>
      <c r="H22" s="31" t="s">
        <v>194</v>
      </c>
    </row>
    <row r="23" ht="14.25" customHeight="1">
      <c r="A23" s="31" t="s">
        <v>229</v>
      </c>
      <c r="B23" s="36" t="s">
        <v>230</v>
      </c>
      <c r="C23" s="33">
        <v>37000.0</v>
      </c>
      <c r="D23" s="33">
        <v>75000.0</v>
      </c>
      <c r="E23" s="34">
        <f t="shared" si="2"/>
        <v>0.5066666667</v>
      </c>
      <c r="F23" s="35">
        <v>0.0</v>
      </c>
      <c r="G23" s="35">
        <v>0.0</v>
      </c>
      <c r="H23" s="31" t="s">
        <v>194</v>
      </c>
    </row>
    <row r="24" ht="14.25" customHeight="1">
      <c r="A24" s="31" t="s">
        <v>231</v>
      </c>
      <c r="B24" s="36" t="s">
        <v>232</v>
      </c>
      <c r="C24" s="33">
        <v>37000.0</v>
      </c>
      <c r="D24" s="33">
        <v>75000.0</v>
      </c>
      <c r="E24" s="34">
        <f t="shared" si="2"/>
        <v>0.5066666667</v>
      </c>
      <c r="F24" s="35">
        <v>0.0</v>
      </c>
      <c r="G24" s="35">
        <v>0.0</v>
      </c>
      <c r="H24" s="31" t="s">
        <v>194</v>
      </c>
    </row>
    <row r="25" ht="14.25" customHeight="1">
      <c r="A25" s="31" t="s">
        <v>233</v>
      </c>
      <c r="B25" s="36" t="s">
        <v>234</v>
      </c>
      <c r="C25" s="33">
        <v>37000.0</v>
      </c>
      <c r="D25" s="33">
        <v>75000.0</v>
      </c>
      <c r="E25" s="34">
        <f t="shared" si="2"/>
        <v>0.5066666667</v>
      </c>
      <c r="F25" s="35">
        <v>0.0</v>
      </c>
      <c r="G25" s="35">
        <v>0.0</v>
      </c>
      <c r="H25" s="31" t="s">
        <v>194</v>
      </c>
    </row>
    <row r="26" ht="14.25" customHeight="1">
      <c r="A26" s="31" t="s">
        <v>235</v>
      </c>
      <c r="B26" s="36" t="s">
        <v>236</v>
      </c>
      <c r="C26" s="33">
        <v>37000.0</v>
      </c>
      <c r="D26" s="33">
        <v>75000.0</v>
      </c>
      <c r="E26" s="34">
        <f t="shared" si="2"/>
        <v>0.5066666667</v>
      </c>
      <c r="F26" s="35">
        <v>0.0</v>
      </c>
      <c r="G26" s="35">
        <v>0.0</v>
      </c>
      <c r="H26" s="31" t="s">
        <v>194</v>
      </c>
    </row>
    <row r="27" ht="14.25" customHeight="1">
      <c r="A27" s="31" t="s">
        <v>237</v>
      </c>
      <c r="B27" s="36" t="s">
        <v>238</v>
      </c>
      <c r="C27" s="33">
        <v>37000.0</v>
      </c>
      <c r="D27" s="33">
        <v>75000.0</v>
      </c>
      <c r="E27" s="34">
        <f t="shared" si="2"/>
        <v>0.5066666667</v>
      </c>
      <c r="F27" s="35">
        <v>0.0</v>
      </c>
      <c r="G27" s="35">
        <v>0.0</v>
      </c>
      <c r="H27" s="31" t="s">
        <v>194</v>
      </c>
    </row>
    <row r="28" ht="14.25" customHeight="1">
      <c r="A28" s="31" t="s">
        <v>239</v>
      </c>
      <c r="B28" s="36" t="s">
        <v>240</v>
      </c>
      <c r="C28" s="33">
        <v>37000.0</v>
      </c>
      <c r="D28" s="33">
        <v>75000.0</v>
      </c>
      <c r="E28" s="34">
        <f t="shared" si="2"/>
        <v>0.5066666667</v>
      </c>
      <c r="F28" s="35">
        <v>0.0</v>
      </c>
      <c r="G28" s="35">
        <v>0.0</v>
      </c>
      <c r="H28" s="31" t="s">
        <v>194</v>
      </c>
    </row>
    <row r="29" ht="14.25" customHeight="1">
      <c r="A29" s="31" t="s">
        <v>241</v>
      </c>
      <c r="B29" s="36" t="s">
        <v>242</v>
      </c>
      <c r="C29" s="33">
        <v>37000.0</v>
      </c>
      <c r="D29" s="33">
        <v>75000.0</v>
      </c>
      <c r="E29" s="34">
        <f t="shared" si="2"/>
        <v>0.5066666667</v>
      </c>
      <c r="F29" s="37">
        <v>2.0</v>
      </c>
      <c r="G29" s="37">
        <v>2.0</v>
      </c>
      <c r="H29" s="31" t="s">
        <v>194</v>
      </c>
    </row>
    <row r="30" ht="14.25" customHeight="1">
      <c r="A30" s="31" t="s">
        <v>243</v>
      </c>
      <c r="B30" s="36" t="s">
        <v>244</v>
      </c>
      <c r="C30" s="33">
        <v>37000.0</v>
      </c>
      <c r="D30" s="33">
        <v>75000.0</v>
      </c>
      <c r="E30" s="34">
        <f t="shared" si="2"/>
        <v>0.5066666667</v>
      </c>
      <c r="F30" s="35">
        <v>4.0</v>
      </c>
      <c r="G30" s="35">
        <v>4.0</v>
      </c>
      <c r="H30" s="31" t="s">
        <v>194</v>
      </c>
    </row>
    <row r="31" ht="14.25" customHeight="1">
      <c r="A31" s="31" t="s">
        <v>245</v>
      </c>
      <c r="B31" s="36" t="s">
        <v>246</v>
      </c>
      <c r="C31" s="33">
        <v>37000.0</v>
      </c>
      <c r="D31" s="33">
        <v>75000.0</v>
      </c>
      <c r="E31" s="34">
        <f t="shared" si="2"/>
        <v>0.5066666667</v>
      </c>
      <c r="F31" s="35">
        <v>4.0</v>
      </c>
      <c r="G31" s="35">
        <v>4.0</v>
      </c>
      <c r="H31" s="31" t="s">
        <v>194</v>
      </c>
    </row>
    <row r="32" ht="14.25" customHeight="1">
      <c r="A32" s="31" t="s">
        <v>247</v>
      </c>
      <c r="B32" s="36" t="s">
        <v>248</v>
      </c>
      <c r="C32" s="33">
        <v>37000.0</v>
      </c>
      <c r="D32" s="33">
        <v>75000.0</v>
      </c>
      <c r="E32" s="34">
        <f t="shared" si="2"/>
        <v>0.5066666667</v>
      </c>
      <c r="F32" s="37">
        <v>2.0</v>
      </c>
      <c r="G32" s="37">
        <v>2.0</v>
      </c>
      <c r="H32" s="31" t="s">
        <v>194</v>
      </c>
    </row>
    <row r="33" ht="14.25" customHeight="1">
      <c r="A33" s="31" t="s">
        <v>249</v>
      </c>
      <c r="B33" s="36" t="s">
        <v>250</v>
      </c>
      <c r="C33" s="33">
        <v>37000.0</v>
      </c>
      <c r="D33" s="33">
        <v>75000.0</v>
      </c>
      <c r="E33" s="34">
        <f t="shared" si="2"/>
        <v>0.5066666667</v>
      </c>
      <c r="F33" s="35">
        <v>4.0</v>
      </c>
      <c r="G33" s="35">
        <v>4.0</v>
      </c>
      <c r="H33" s="31" t="s">
        <v>194</v>
      </c>
    </row>
    <row r="34" ht="14.25" customHeight="1">
      <c r="A34" s="31" t="s">
        <v>251</v>
      </c>
      <c r="B34" s="36" t="s">
        <v>252</v>
      </c>
      <c r="C34" s="33">
        <v>37000.0</v>
      </c>
      <c r="D34" s="33">
        <v>75000.0</v>
      </c>
      <c r="E34" s="34">
        <f t="shared" si="2"/>
        <v>0.5066666667</v>
      </c>
      <c r="F34" s="35">
        <v>4.0</v>
      </c>
      <c r="G34" s="35">
        <v>4.0</v>
      </c>
      <c r="H34" s="31" t="s">
        <v>194</v>
      </c>
    </row>
    <row r="35" ht="14.25" customHeight="1">
      <c r="A35" s="31" t="s">
        <v>253</v>
      </c>
      <c r="B35" s="36" t="s">
        <v>254</v>
      </c>
      <c r="C35" s="33">
        <v>37000.0</v>
      </c>
      <c r="D35" s="33">
        <v>75000.0</v>
      </c>
      <c r="E35" s="34">
        <f t="shared" si="2"/>
        <v>0.5066666667</v>
      </c>
      <c r="F35" s="37">
        <v>2.0</v>
      </c>
      <c r="G35" s="37">
        <v>2.0</v>
      </c>
      <c r="H35" s="31" t="s">
        <v>194</v>
      </c>
    </row>
    <row r="36" ht="14.25" customHeight="1">
      <c r="A36" s="31" t="s">
        <v>255</v>
      </c>
      <c r="B36" s="36" t="s">
        <v>256</v>
      </c>
      <c r="C36" s="33">
        <v>37000.0</v>
      </c>
      <c r="D36" s="33">
        <v>75000.0</v>
      </c>
      <c r="E36" s="34">
        <f t="shared" si="2"/>
        <v>0.5066666667</v>
      </c>
      <c r="F36" s="35">
        <v>4.0</v>
      </c>
      <c r="G36" s="35">
        <v>4.0</v>
      </c>
      <c r="H36" s="31" t="s">
        <v>194</v>
      </c>
    </row>
    <row r="37" ht="14.25" customHeight="1">
      <c r="A37" s="31" t="s">
        <v>257</v>
      </c>
      <c r="B37" s="36" t="s">
        <v>258</v>
      </c>
      <c r="C37" s="33">
        <v>37000.0</v>
      </c>
      <c r="D37" s="33">
        <v>75000.0</v>
      </c>
      <c r="E37" s="34">
        <f t="shared" si="2"/>
        <v>0.5066666667</v>
      </c>
      <c r="F37" s="35">
        <v>4.0</v>
      </c>
      <c r="G37" s="35">
        <v>4.0</v>
      </c>
      <c r="H37" s="31" t="s">
        <v>194</v>
      </c>
    </row>
    <row r="38" ht="14.25" customHeight="1">
      <c r="A38" s="31" t="s">
        <v>259</v>
      </c>
      <c r="B38" s="36" t="s">
        <v>260</v>
      </c>
      <c r="C38" s="33">
        <v>120000.0</v>
      </c>
      <c r="D38" s="33">
        <v>200000.0</v>
      </c>
      <c r="E38" s="34">
        <f t="shared" si="2"/>
        <v>0.4</v>
      </c>
      <c r="F38" s="35">
        <v>12.0</v>
      </c>
      <c r="G38" s="35">
        <v>12.0</v>
      </c>
      <c r="H38" s="31" t="s">
        <v>194</v>
      </c>
    </row>
    <row r="39" ht="14.25" customHeight="1">
      <c r="A39" s="31" t="s">
        <v>261</v>
      </c>
      <c r="B39" s="36" t="s">
        <v>262</v>
      </c>
      <c r="C39" s="38">
        <f>'Pedidos Proveedores'!$E$3</f>
        <v>90000</v>
      </c>
      <c r="D39" s="33">
        <v>200000.0</v>
      </c>
      <c r="E39" s="34">
        <f t="shared" si="2"/>
        <v>0.55</v>
      </c>
      <c r="F39" s="35">
        <v>0.0</v>
      </c>
      <c r="G39" s="35">
        <v>0.0</v>
      </c>
      <c r="H39" s="31" t="s">
        <v>194</v>
      </c>
    </row>
    <row r="40" ht="14.25" customHeight="1">
      <c r="A40" s="31" t="s">
        <v>263</v>
      </c>
      <c r="B40" s="36" t="s">
        <v>264</v>
      </c>
      <c r="C40" s="38">
        <f>'Pedidos Proveedores'!$E$3</f>
        <v>90000</v>
      </c>
      <c r="D40" s="33">
        <v>200000.0</v>
      </c>
      <c r="E40" s="34">
        <f t="shared" si="2"/>
        <v>0.55</v>
      </c>
      <c r="F40" s="35">
        <v>0.0</v>
      </c>
      <c r="G40" s="35">
        <v>0.0</v>
      </c>
      <c r="H40" s="31" t="s">
        <v>194</v>
      </c>
    </row>
    <row r="41" ht="14.25" customHeight="1">
      <c r="A41" s="31" t="s">
        <v>265</v>
      </c>
      <c r="B41" s="36" t="s">
        <v>266</v>
      </c>
      <c r="C41" s="38">
        <f>'Pedidos Proveedores'!$E$3</f>
        <v>90000</v>
      </c>
      <c r="D41" s="33">
        <v>200000.0</v>
      </c>
      <c r="E41" s="34">
        <f t="shared" si="2"/>
        <v>0.55</v>
      </c>
      <c r="F41" s="35">
        <v>0.0</v>
      </c>
      <c r="G41" s="35">
        <v>0.0</v>
      </c>
      <c r="H41" s="31" t="s">
        <v>194</v>
      </c>
    </row>
    <row r="42" ht="14.25" customHeight="1">
      <c r="A42" s="31" t="s">
        <v>267</v>
      </c>
      <c r="B42" s="39" t="s">
        <v>268</v>
      </c>
      <c r="C42" s="38">
        <f>'Pedidos Proveedores'!$E$3</f>
        <v>90000</v>
      </c>
      <c r="D42" s="33">
        <v>200000.0</v>
      </c>
      <c r="E42" s="34">
        <f t="shared" si="2"/>
        <v>0.55</v>
      </c>
      <c r="F42" s="35">
        <v>0.0</v>
      </c>
      <c r="G42" s="35">
        <v>0.0</v>
      </c>
      <c r="H42" s="31" t="s">
        <v>194</v>
      </c>
    </row>
    <row r="43" ht="14.25" customHeight="1">
      <c r="A43" s="31" t="s">
        <v>269</v>
      </c>
      <c r="B43" s="39" t="s">
        <v>270</v>
      </c>
      <c r="C43" s="38">
        <f>'Pedidos Proveedores'!$E$3</f>
        <v>90000</v>
      </c>
      <c r="D43" s="33">
        <v>200000.0</v>
      </c>
      <c r="E43" s="34">
        <f t="shared" si="2"/>
        <v>0.55</v>
      </c>
      <c r="F43" s="35">
        <v>0.0</v>
      </c>
      <c r="G43" s="35">
        <v>0.0</v>
      </c>
      <c r="H43" s="31" t="s">
        <v>194</v>
      </c>
    </row>
    <row r="44" ht="14.25" customHeight="1">
      <c r="A44" s="31" t="s">
        <v>271</v>
      </c>
      <c r="B44" s="39" t="s">
        <v>272</v>
      </c>
      <c r="C44" s="38">
        <f>'Pedidos Proveedores'!$E$3</f>
        <v>90000</v>
      </c>
      <c r="D44" s="33">
        <v>200000.0</v>
      </c>
      <c r="E44" s="34">
        <f t="shared" si="2"/>
        <v>0.55</v>
      </c>
      <c r="F44" s="35">
        <v>4.0</v>
      </c>
      <c r="G44" s="35">
        <v>4.0</v>
      </c>
      <c r="H44" s="31" t="s">
        <v>194</v>
      </c>
    </row>
    <row r="45" ht="14.25" customHeight="1">
      <c r="A45" s="31" t="s">
        <v>273</v>
      </c>
      <c r="B45" s="36" t="s">
        <v>274</v>
      </c>
      <c r="C45" s="38">
        <f>'Pedidos Proveedores'!$E$3</f>
        <v>90000</v>
      </c>
      <c r="D45" s="33">
        <v>200000.0</v>
      </c>
      <c r="E45" s="34">
        <f t="shared" si="2"/>
        <v>0.55</v>
      </c>
      <c r="F45" s="35">
        <v>0.0</v>
      </c>
      <c r="G45" s="35">
        <v>0.0</v>
      </c>
      <c r="H45" s="31" t="s">
        <v>194</v>
      </c>
    </row>
    <row r="46" ht="14.25" customHeight="1">
      <c r="A46" s="31" t="s">
        <v>275</v>
      </c>
      <c r="B46" s="36" t="s">
        <v>276</v>
      </c>
      <c r="C46" s="38">
        <f>'Pedidos Proveedores'!$E$3</f>
        <v>90000</v>
      </c>
      <c r="D46" s="33">
        <v>200000.0</v>
      </c>
      <c r="E46" s="34">
        <f t="shared" si="2"/>
        <v>0.55</v>
      </c>
      <c r="F46" s="35">
        <v>0.0</v>
      </c>
      <c r="G46" s="35">
        <v>0.0</v>
      </c>
      <c r="H46" s="31" t="s">
        <v>194</v>
      </c>
    </row>
    <row r="47" ht="14.25" customHeight="1">
      <c r="A47" s="31" t="s">
        <v>277</v>
      </c>
      <c r="B47" s="36" t="s">
        <v>278</v>
      </c>
      <c r="C47" s="38">
        <f>'Pedidos Proveedores'!$E$3</f>
        <v>90000</v>
      </c>
      <c r="D47" s="33">
        <v>200000.0</v>
      </c>
      <c r="E47" s="34">
        <f t="shared" si="2"/>
        <v>0.55</v>
      </c>
      <c r="F47" s="35">
        <v>0.0</v>
      </c>
      <c r="G47" s="35">
        <v>0.0</v>
      </c>
      <c r="H47" s="31" t="s">
        <v>194</v>
      </c>
    </row>
    <row r="48" ht="14.25" customHeight="1">
      <c r="A48" s="31" t="s">
        <v>279</v>
      </c>
      <c r="B48" s="36" t="s">
        <v>280</v>
      </c>
      <c r="C48" s="38">
        <f>'Pedidos Proveedores'!$E$3</f>
        <v>90000</v>
      </c>
      <c r="D48" s="33">
        <v>200000.0</v>
      </c>
      <c r="E48" s="34">
        <f t="shared" si="2"/>
        <v>0.55</v>
      </c>
      <c r="F48" s="35">
        <v>0.0</v>
      </c>
      <c r="G48" s="35">
        <v>0.0</v>
      </c>
      <c r="H48" s="31" t="s">
        <v>194</v>
      </c>
    </row>
    <row r="49" ht="14.25" customHeight="1">
      <c r="A49" s="31" t="s">
        <v>281</v>
      </c>
      <c r="B49" s="36" t="s">
        <v>282</v>
      </c>
      <c r="C49" s="38">
        <f>'Pedidos Proveedores'!$E$3</f>
        <v>90000</v>
      </c>
      <c r="D49" s="33">
        <v>200000.0</v>
      </c>
      <c r="E49" s="34">
        <f t="shared" si="2"/>
        <v>0.55</v>
      </c>
      <c r="F49" s="35">
        <v>0.0</v>
      </c>
      <c r="G49" s="35">
        <v>0.0</v>
      </c>
      <c r="H49" s="31" t="s">
        <v>194</v>
      </c>
    </row>
    <row r="50" ht="14.25" customHeight="1">
      <c r="A50" s="31" t="s">
        <v>283</v>
      </c>
      <c r="B50" s="36" t="s">
        <v>284</v>
      </c>
      <c r="C50" s="38">
        <f>'Pedidos Proveedores'!$E$3</f>
        <v>90000</v>
      </c>
      <c r="D50" s="33">
        <v>200000.0</v>
      </c>
      <c r="E50" s="34">
        <f t="shared" si="2"/>
        <v>0.55</v>
      </c>
      <c r="F50" s="35">
        <v>0.0</v>
      </c>
      <c r="G50" s="35">
        <v>0.0</v>
      </c>
      <c r="H50" s="31" t="s">
        <v>194</v>
      </c>
    </row>
    <row r="51" ht="14.25" customHeight="1">
      <c r="A51" s="31" t="s">
        <v>285</v>
      </c>
      <c r="B51" s="36" t="s">
        <v>286</v>
      </c>
      <c r="C51" s="33">
        <v>55000.0</v>
      </c>
      <c r="D51" s="38">
        <v>120000.0</v>
      </c>
      <c r="E51" s="34">
        <f t="shared" si="2"/>
        <v>0.5416666667</v>
      </c>
      <c r="F51" s="37">
        <v>2.0</v>
      </c>
      <c r="G51" s="37">
        <v>2.0</v>
      </c>
      <c r="H51" s="31" t="s">
        <v>194</v>
      </c>
    </row>
    <row r="52" ht="14.25" customHeight="1">
      <c r="A52" s="31" t="s">
        <v>287</v>
      </c>
      <c r="B52" s="36" t="s">
        <v>288</v>
      </c>
      <c r="C52" s="33">
        <v>55000.0</v>
      </c>
      <c r="D52" s="38">
        <v>120000.0</v>
      </c>
      <c r="E52" s="34">
        <f t="shared" si="2"/>
        <v>0.5416666667</v>
      </c>
      <c r="F52" s="35">
        <v>4.0</v>
      </c>
      <c r="G52" s="35">
        <v>4.0</v>
      </c>
      <c r="H52" s="31" t="s">
        <v>194</v>
      </c>
    </row>
    <row r="53" ht="14.25" customHeight="1">
      <c r="A53" s="31" t="s">
        <v>289</v>
      </c>
      <c r="B53" s="36" t="s">
        <v>290</v>
      </c>
      <c r="C53" s="33">
        <v>55000.0</v>
      </c>
      <c r="D53" s="38">
        <v>120000.0</v>
      </c>
      <c r="E53" s="34">
        <f t="shared" si="2"/>
        <v>0.5416666667</v>
      </c>
      <c r="F53" s="35">
        <v>4.0</v>
      </c>
      <c r="G53" s="35">
        <v>4.0</v>
      </c>
      <c r="H53" s="31" t="s">
        <v>194</v>
      </c>
    </row>
    <row r="54" ht="14.25" customHeight="1">
      <c r="A54" s="31" t="s">
        <v>291</v>
      </c>
      <c r="B54" s="36" t="s">
        <v>292</v>
      </c>
      <c r="C54" s="33">
        <v>55000.0</v>
      </c>
      <c r="D54" s="38">
        <v>120000.0</v>
      </c>
      <c r="E54" s="34">
        <f t="shared" si="2"/>
        <v>0.5416666667</v>
      </c>
      <c r="F54" s="35">
        <v>2.0</v>
      </c>
      <c r="G54" s="35">
        <v>2.0</v>
      </c>
      <c r="H54" s="31" t="s">
        <v>194</v>
      </c>
    </row>
    <row r="55" ht="14.25" customHeight="1">
      <c r="A55" s="31" t="s">
        <v>293</v>
      </c>
      <c r="B55" s="36" t="s">
        <v>294</v>
      </c>
      <c r="C55" s="33">
        <v>55000.0</v>
      </c>
      <c r="D55" s="38">
        <v>120000.0</v>
      </c>
      <c r="E55" s="34">
        <f t="shared" si="2"/>
        <v>0.5416666667</v>
      </c>
      <c r="F55" s="37">
        <v>2.0</v>
      </c>
      <c r="G55" s="37">
        <v>2.0</v>
      </c>
      <c r="H55" s="31" t="s">
        <v>194</v>
      </c>
    </row>
    <row r="56" ht="14.25" customHeight="1">
      <c r="A56" s="31" t="s">
        <v>295</v>
      </c>
      <c r="B56" s="36" t="s">
        <v>296</v>
      </c>
      <c r="C56" s="33">
        <v>55000.0</v>
      </c>
      <c r="D56" s="38">
        <v>120000.0</v>
      </c>
      <c r="E56" s="34">
        <f t="shared" si="2"/>
        <v>0.5416666667</v>
      </c>
      <c r="F56" s="37">
        <v>2.0</v>
      </c>
      <c r="G56" s="37">
        <v>2.0</v>
      </c>
      <c r="H56" s="31" t="s">
        <v>194</v>
      </c>
    </row>
    <row r="57" ht="14.25" customHeight="1">
      <c r="A57" s="31" t="s">
        <v>297</v>
      </c>
      <c r="B57" s="36" t="s">
        <v>298</v>
      </c>
      <c r="C57" s="33">
        <v>55000.0</v>
      </c>
      <c r="D57" s="38">
        <v>120000.0</v>
      </c>
      <c r="E57" s="34">
        <f t="shared" si="2"/>
        <v>0.5416666667</v>
      </c>
      <c r="F57" s="37">
        <v>2.0</v>
      </c>
      <c r="G57" s="37">
        <v>2.0</v>
      </c>
      <c r="H57" s="31" t="s">
        <v>194</v>
      </c>
    </row>
    <row r="58" ht="14.25" customHeight="1">
      <c r="A58" s="31" t="s">
        <v>299</v>
      </c>
      <c r="B58" s="36" t="s">
        <v>300</v>
      </c>
      <c r="C58" s="33">
        <v>55000.0</v>
      </c>
      <c r="D58" s="38">
        <v>120000.0</v>
      </c>
      <c r="E58" s="34">
        <f t="shared" si="2"/>
        <v>0.5416666667</v>
      </c>
      <c r="F58" s="37">
        <v>2.0</v>
      </c>
      <c r="G58" s="37">
        <v>2.0</v>
      </c>
      <c r="H58" s="31" t="s">
        <v>194</v>
      </c>
    </row>
    <row r="59" ht="14.25" customHeight="1">
      <c r="A59" s="31" t="s">
        <v>301</v>
      </c>
      <c r="B59" s="39" t="s">
        <v>302</v>
      </c>
      <c r="C59" s="33">
        <v>55000.0</v>
      </c>
      <c r="D59" s="38">
        <v>120000.0</v>
      </c>
      <c r="E59" s="34">
        <f t="shared" si="2"/>
        <v>0.5416666667</v>
      </c>
      <c r="F59" s="37">
        <v>2.0</v>
      </c>
      <c r="G59" s="37">
        <v>2.0</v>
      </c>
      <c r="H59" s="31" t="s">
        <v>194</v>
      </c>
    </row>
    <row r="60" ht="14.25" customHeight="1">
      <c r="A60" s="31" t="s">
        <v>303</v>
      </c>
      <c r="B60" s="39" t="s">
        <v>304</v>
      </c>
      <c r="C60" s="33">
        <v>55000.0</v>
      </c>
      <c r="D60" s="38">
        <v>120000.0</v>
      </c>
      <c r="E60" s="34">
        <f t="shared" si="2"/>
        <v>0.5416666667</v>
      </c>
      <c r="F60" s="37">
        <v>2.0</v>
      </c>
      <c r="G60" s="37">
        <v>2.0</v>
      </c>
      <c r="H60" s="31" t="s">
        <v>194</v>
      </c>
    </row>
    <row r="61" ht="14.25" customHeight="1">
      <c r="A61" s="31" t="s">
        <v>305</v>
      </c>
      <c r="B61" s="36" t="s">
        <v>306</v>
      </c>
      <c r="C61" s="33">
        <v>55000.0</v>
      </c>
      <c r="D61" s="33">
        <v>100000.0</v>
      </c>
      <c r="E61" s="34">
        <f t="shared" si="2"/>
        <v>0.45</v>
      </c>
      <c r="F61" s="35">
        <v>4.0</v>
      </c>
      <c r="G61" s="35">
        <v>4.0</v>
      </c>
      <c r="H61" s="31" t="s">
        <v>194</v>
      </c>
    </row>
    <row r="62" ht="14.25" customHeight="1">
      <c r="A62" s="31" t="s">
        <v>307</v>
      </c>
      <c r="B62" s="36" t="s">
        <v>308</v>
      </c>
      <c r="C62" s="33">
        <v>55000.0</v>
      </c>
      <c r="D62" s="33">
        <v>100000.0</v>
      </c>
      <c r="E62" s="34">
        <f t="shared" si="2"/>
        <v>0.45</v>
      </c>
      <c r="F62" s="35">
        <v>4.0</v>
      </c>
      <c r="G62" s="35">
        <v>4.0</v>
      </c>
      <c r="H62" s="31" t="s">
        <v>194</v>
      </c>
    </row>
    <row r="63" ht="14.25" customHeight="1">
      <c r="A63" s="31" t="s">
        <v>309</v>
      </c>
      <c r="B63" s="36" t="s">
        <v>310</v>
      </c>
      <c r="C63" s="33">
        <v>55000.0</v>
      </c>
      <c r="D63" s="33">
        <v>100000.0</v>
      </c>
      <c r="E63" s="34">
        <f t="shared" si="2"/>
        <v>0.45</v>
      </c>
      <c r="F63" s="35">
        <v>4.0</v>
      </c>
      <c r="G63" s="35">
        <v>4.0</v>
      </c>
      <c r="H63" s="31" t="s">
        <v>194</v>
      </c>
    </row>
    <row r="64" ht="14.25" customHeight="1">
      <c r="A64" s="31" t="s">
        <v>311</v>
      </c>
      <c r="B64" s="36" t="s">
        <v>312</v>
      </c>
      <c r="C64" s="33">
        <v>55000.0</v>
      </c>
      <c r="D64" s="33">
        <v>100000.0</v>
      </c>
      <c r="E64" s="34">
        <f t="shared" si="2"/>
        <v>0.45</v>
      </c>
      <c r="F64" s="37">
        <v>2.0</v>
      </c>
      <c r="G64" s="37">
        <v>2.0</v>
      </c>
      <c r="H64" s="31" t="s">
        <v>194</v>
      </c>
    </row>
    <row r="65" ht="14.25" customHeight="1">
      <c r="A65" s="31" t="s">
        <v>313</v>
      </c>
      <c r="B65" s="36" t="s">
        <v>314</v>
      </c>
      <c r="C65" s="33">
        <v>55000.0</v>
      </c>
      <c r="D65" s="33">
        <v>100000.0</v>
      </c>
      <c r="E65" s="34">
        <f t="shared" si="2"/>
        <v>0.45</v>
      </c>
      <c r="F65" s="37">
        <v>2.0</v>
      </c>
      <c r="G65" s="37">
        <v>2.0</v>
      </c>
      <c r="H65" s="31" t="s">
        <v>194</v>
      </c>
    </row>
    <row r="66" ht="14.25" customHeight="1">
      <c r="A66" s="31" t="s">
        <v>315</v>
      </c>
      <c r="B66" s="36" t="s">
        <v>316</v>
      </c>
      <c r="C66" s="33">
        <v>55000.0</v>
      </c>
      <c r="D66" s="33">
        <v>100000.0</v>
      </c>
      <c r="E66" s="34">
        <f t="shared" si="2"/>
        <v>0.45</v>
      </c>
      <c r="F66" s="35">
        <v>2.0</v>
      </c>
      <c r="G66" s="35">
        <v>2.0</v>
      </c>
      <c r="H66" s="31" t="s">
        <v>194</v>
      </c>
    </row>
    <row r="67" ht="14.25" customHeight="1">
      <c r="A67" s="31" t="s">
        <v>317</v>
      </c>
      <c r="B67" s="39" t="s">
        <v>318</v>
      </c>
      <c r="C67" s="33">
        <v>55000.0</v>
      </c>
      <c r="D67" s="33">
        <v>100000.0</v>
      </c>
      <c r="E67" s="34">
        <f t="shared" si="2"/>
        <v>0.45</v>
      </c>
      <c r="F67" s="35">
        <v>2.0</v>
      </c>
      <c r="G67" s="35">
        <v>2.0</v>
      </c>
      <c r="H67" s="31" t="s">
        <v>194</v>
      </c>
    </row>
    <row r="68" ht="14.25" customHeight="1">
      <c r="A68" s="31" t="s">
        <v>319</v>
      </c>
      <c r="B68" s="39" t="s">
        <v>320</v>
      </c>
      <c r="C68" s="33">
        <v>55000.0</v>
      </c>
      <c r="D68" s="33">
        <v>100000.0</v>
      </c>
      <c r="E68" s="34">
        <f t="shared" si="2"/>
        <v>0.45</v>
      </c>
      <c r="F68" s="35">
        <v>2.0</v>
      </c>
      <c r="G68" s="35">
        <v>2.0</v>
      </c>
      <c r="H68" s="31" t="s">
        <v>194</v>
      </c>
    </row>
    <row r="69" ht="14.25" customHeight="1">
      <c r="A69" s="31" t="s">
        <v>321</v>
      </c>
      <c r="B69" s="39" t="s">
        <v>322</v>
      </c>
      <c r="C69" s="33">
        <v>55000.0</v>
      </c>
      <c r="D69" s="33">
        <v>100000.0</v>
      </c>
      <c r="E69" s="34">
        <f t="shared" si="2"/>
        <v>0.45</v>
      </c>
      <c r="F69" s="35">
        <v>2.0</v>
      </c>
      <c r="G69" s="35">
        <v>2.0</v>
      </c>
      <c r="H69" s="31" t="s">
        <v>194</v>
      </c>
    </row>
    <row r="70" ht="14.25" customHeight="1">
      <c r="A70" s="31" t="s">
        <v>323</v>
      </c>
      <c r="B70" s="36" t="s">
        <v>324</v>
      </c>
      <c r="C70" s="38">
        <f>'Pedidos Proveedores'!$E$8</f>
        <v>40000</v>
      </c>
      <c r="D70" s="33">
        <v>120000.0</v>
      </c>
      <c r="E70" s="34">
        <f t="shared" si="2"/>
        <v>0.6666666667</v>
      </c>
      <c r="F70" s="35">
        <v>4.0</v>
      </c>
      <c r="G70" s="35">
        <v>4.0</v>
      </c>
      <c r="H70" s="31" t="s">
        <v>194</v>
      </c>
    </row>
    <row r="71" ht="14.25" customHeight="1">
      <c r="A71" s="31" t="s">
        <v>325</v>
      </c>
      <c r="B71" s="36" t="s">
        <v>326</v>
      </c>
      <c r="C71" s="38">
        <f>'Pedidos Proveedores'!$E$8</f>
        <v>40000</v>
      </c>
      <c r="D71" s="33">
        <v>120000.0</v>
      </c>
      <c r="E71" s="34">
        <f t="shared" si="2"/>
        <v>0.6666666667</v>
      </c>
      <c r="F71" s="35">
        <v>4.0</v>
      </c>
      <c r="G71" s="35">
        <v>4.0</v>
      </c>
      <c r="H71" s="31" t="s">
        <v>194</v>
      </c>
    </row>
    <row r="72" ht="14.25" customHeight="1">
      <c r="A72" s="31" t="s">
        <v>327</v>
      </c>
      <c r="B72" s="36" t="s">
        <v>328</v>
      </c>
      <c r="C72" s="38">
        <f>'Pedidos Proveedores'!$E$8</f>
        <v>40000</v>
      </c>
      <c r="D72" s="33">
        <v>120000.0</v>
      </c>
      <c r="E72" s="34">
        <f t="shared" si="2"/>
        <v>0.6666666667</v>
      </c>
      <c r="F72" s="35">
        <v>4.0</v>
      </c>
      <c r="G72" s="35">
        <v>4.0</v>
      </c>
      <c r="H72" s="31" t="s">
        <v>194</v>
      </c>
    </row>
    <row r="73" ht="14.25" customHeight="1">
      <c r="A73" s="31" t="s">
        <v>329</v>
      </c>
      <c r="B73" s="39" t="s">
        <v>330</v>
      </c>
      <c r="C73" s="38">
        <f>'Pedidos Proveedores'!$E$8</f>
        <v>40000</v>
      </c>
      <c r="D73" s="33">
        <v>120000.0</v>
      </c>
      <c r="E73" s="34">
        <f t="shared" si="2"/>
        <v>0.6666666667</v>
      </c>
      <c r="F73" s="35">
        <v>2.0</v>
      </c>
      <c r="G73" s="35">
        <v>2.0</v>
      </c>
      <c r="H73" s="31" t="s">
        <v>194</v>
      </c>
    </row>
    <row r="74" ht="14.25" customHeight="1">
      <c r="A74" s="31" t="s">
        <v>331</v>
      </c>
      <c r="B74" s="39" t="s">
        <v>332</v>
      </c>
      <c r="C74" s="38">
        <f>'Pedidos Proveedores'!$E$8</f>
        <v>40000</v>
      </c>
      <c r="D74" s="33">
        <v>120000.0</v>
      </c>
      <c r="E74" s="34">
        <f t="shared" si="2"/>
        <v>0.6666666667</v>
      </c>
      <c r="F74" s="35">
        <v>2.0</v>
      </c>
      <c r="G74" s="35">
        <v>2.0</v>
      </c>
      <c r="H74" s="31" t="s">
        <v>194</v>
      </c>
    </row>
    <row r="75" ht="14.25" customHeight="1">
      <c r="A75" s="31" t="s">
        <v>333</v>
      </c>
      <c r="B75" s="39" t="s">
        <v>334</v>
      </c>
      <c r="C75" s="38">
        <f>'Pedidos Proveedores'!$E$8</f>
        <v>40000</v>
      </c>
      <c r="D75" s="33">
        <v>120000.0</v>
      </c>
      <c r="E75" s="34">
        <f t="shared" si="2"/>
        <v>0.6666666667</v>
      </c>
      <c r="F75" s="35">
        <v>2.0</v>
      </c>
      <c r="G75" s="35">
        <v>2.0</v>
      </c>
      <c r="H75" s="31" t="s">
        <v>194</v>
      </c>
    </row>
    <row r="76" ht="14.25" customHeight="1">
      <c r="A76" s="31" t="s">
        <v>335</v>
      </c>
      <c r="B76" s="39" t="s">
        <v>336</v>
      </c>
      <c r="C76" s="38">
        <f>'Pedidos Proveedores'!$E$8</f>
        <v>40000</v>
      </c>
      <c r="D76" s="33">
        <v>120000.0</v>
      </c>
      <c r="E76" s="34">
        <f t="shared" si="2"/>
        <v>0.6666666667</v>
      </c>
      <c r="F76" s="35">
        <v>2.0</v>
      </c>
      <c r="G76" s="35">
        <v>2.0</v>
      </c>
      <c r="H76" s="31" t="s">
        <v>194</v>
      </c>
    </row>
    <row r="77" ht="14.25" customHeight="1">
      <c r="A77" s="31" t="s">
        <v>337</v>
      </c>
      <c r="B77" s="39" t="s">
        <v>338</v>
      </c>
      <c r="C77" s="38">
        <f>'Pedidos Proveedores'!$E$8</f>
        <v>40000</v>
      </c>
      <c r="D77" s="33">
        <v>120000.0</v>
      </c>
      <c r="E77" s="34">
        <f t="shared" si="2"/>
        <v>0.6666666667</v>
      </c>
      <c r="F77" s="35">
        <v>2.0</v>
      </c>
      <c r="G77" s="35">
        <v>2.0</v>
      </c>
      <c r="H77" s="31" t="s">
        <v>194</v>
      </c>
    </row>
    <row r="78" ht="14.25" customHeight="1">
      <c r="A78" s="31" t="s">
        <v>339</v>
      </c>
      <c r="B78" s="39" t="s">
        <v>340</v>
      </c>
      <c r="C78" s="38">
        <f>'Pedidos Proveedores'!$E$8</f>
        <v>40000</v>
      </c>
      <c r="D78" s="33">
        <v>120000.0</v>
      </c>
      <c r="E78" s="34">
        <f t="shared" si="2"/>
        <v>0.6666666667</v>
      </c>
      <c r="F78" s="35">
        <v>2.0</v>
      </c>
      <c r="G78" s="35">
        <v>2.0</v>
      </c>
      <c r="H78" s="31" t="s">
        <v>194</v>
      </c>
    </row>
    <row r="79" ht="14.25" customHeight="1">
      <c r="A79" s="31" t="s">
        <v>341</v>
      </c>
      <c r="B79" s="39" t="s">
        <v>342</v>
      </c>
      <c r="C79" s="38">
        <f>'Pedidos Proveedores'!$E$8</f>
        <v>40000</v>
      </c>
      <c r="D79" s="33">
        <v>120000.0</v>
      </c>
      <c r="E79" s="34">
        <f t="shared" si="2"/>
        <v>0.6666666667</v>
      </c>
      <c r="F79" s="35">
        <v>2.0</v>
      </c>
      <c r="G79" s="35">
        <v>2.0</v>
      </c>
      <c r="H79" s="31" t="s">
        <v>194</v>
      </c>
    </row>
    <row r="80" ht="14.25" customHeight="1">
      <c r="A80" s="31" t="s">
        <v>343</v>
      </c>
      <c r="B80" s="39" t="s">
        <v>344</v>
      </c>
      <c r="C80" s="38">
        <f>'Pedidos Proveedores'!$E$8</f>
        <v>40000</v>
      </c>
      <c r="D80" s="33">
        <v>120000.0</v>
      </c>
      <c r="E80" s="34">
        <f t="shared" si="2"/>
        <v>0.6666666667</v>
      </c>
      <c r="F80" s="35">
        <v>2.0</v>
      </c>
      <c r="G80" s="35">
        <v>2.0</v>
      </c>
      <c r="H80" s="31" t="s">
        <v>194</v>
      </c>
    </row>
    <row r="81" ht="14.25" customHeight="1">
      <c r="A81" s="31" t="s">
        <v>345</v>
      </c>
      <c r="B81" s="39" t="s">
        <v>346</v>
      </c>
      <c r="C81" s="38">
        <f>'Pedidos Proveedores'!$E$8</f>
        <v>40000</v>
      </c>
      <c r="D81" s="33">
        <v>120000.0</v>
      </c>
      <c r="E81" s="34">
        <f t="shared" si="2"/>
        <v>0.6666666667</v>
      </c>
      <c r="F81" s="35">
        <v>2.0</v>
      </c>
      <c r="G81" s="35">
        <v>2.0</v>
      </c>
      <c r="H81" s="31" t="s">
        <v>194</v>
      </c>
    </row>
    <row r="82" ht="14.25" customHeight="1">
      <c r="A82" s="31" t="s">
        <v>347</v>
      </c>
      <c r="B82" s="39" t="s">
        <v>348</v>
      </c>
      <c r="C82" s="38">
        <f>'Pedidos Proveedores'!$E$8</f>
        <v>40000</v>
      </c>
      <c r="D82" s="33">
        <v>120000.0</v>
      </c>
      <c r="E82" s="34">
        <f t="shared" si="2"/>
        <v>0.6666666667</v>
      </c>
      <c r="F82" s="35">
        <v>2.0</v>
      </c>
      <c r="G82" s="35">
        <v>2.0</v>
      </c>
      <c r="H82" s="31" t="s">
        <v>194</v>
      </c>
    </row>
    <row r="83" ht="14.25" customHeight="1">
      <c r="A83" s="31" t="s">
        <v>349</v>
      </c>
      <c r="B83" s="39" t="s">
        <v>350</v>
      </c>
      <c r="C83" s="38">
        <f>'Pedidos Proveedores'!$E$8</f>
        <v>40000</v>
      </c>
      <c r="D83" s="33">
        <v>120000.0</v>
      </c>
      <c r="E83" s="34">
        <f t="shared" si="2"/>
        <v>0.6666666667</v>
      </c>
      <c r="F83" s="35">
        <v>2.0</v>
      </c>
      <c r="G83" s="35">
        <v>2.0</v>
      </c>
      <c r="H83" s="31" t="s">
        <v>194</v>
      </c>
    </row>
    <row r="84" ht="14.25" customHeight="1">
      <c r="A84" s="31" t="s">
        <v>351</v>
      </c>
      <c r="B84" s="39" t="s">
        <v>352</v>
      </c>
      <c r="C84" s="38">
        <f>'Pedidos Proveedores'!$E$8</f>
        <v>40000</v>
      </c>
      <c r="D84" s="33">
        <v>120000.0</v>
      </c>
      <c r="E84" s="34">
        <f t="shared" si="2"/>
        <v>0.6666666667</v>
      </c>
      <c r="F84" s="35">
        <v>2.0</v>
      </c>
      <c r="G84" s="35">
        <v>2.0</v>
      </c>
      <c r="H84" s="31" t="s">
        <v>194</v>
      </c>
    </row>
    <row r="85" ht="14.25" customHeight="1">
      <c r="A85" s="31" t="s">
        <v>353</v>
      </c>
      <c r="B85" s="39" t="s">
        <v>354</v>
      </c>
      <c r="C85" s="38">
        <v>55000.0</v>
      </c>
      <c r="D85" s="33">
        <v>90000.0</v>
      </c>
      <c r="E85" s="34">
        <f t="shared" si="2"/>
        <v>0.3888888889</v>
      </c>
      <c r="F85" s="35">
        <v>2.0</v>
      </c>
      <c r="G85" s="35">
        <v>2.0</v>
      </c>
      <c r="H85" s="31" t="s">
        <v>194</v>
      </c>
    </row>
    <row r="86" ht="14.25" customHeight="1">
      <c r="A86" s="31" t="s">
        <v>353</v>
      </c>
      <c r="B86" s="39" t="s">
        <v>355</v>
      </c>
      <c r="C86" s="38">
        <v>55000.0</v>
      </c>
      <c r="D86" s="33">
        <v>90000.0</v>
      </c>
      <c r="E86" s="34">
        <f t="shared" si="2"/>
        <v>0.3888888889</v>
      </c>
      <c r="F86" s="35">
        <v>2.0</v>
      </c>
      <c r="G86" s="35">
        <v>2.0</v>
      </c>
      <c r="H86" s="31" t="s">
        <v>194</v>
      </c>
    </row>
    <row r="87" ht="14.25" customHeight="1">
      <c r="A87" s="31" t="s">
        <v>353</v>
      </c>
      <c r="B87" s="39" t="s">
        <v>356</v>
      </c>
      <c r="C87" s="38">
        <v>55000.0</v>
      </c>
      <c r="D87" s="33">
        <v>90000.0</v>
      </c>
      <c r="E87" s="34">
        <f t="shared" si="2"/>
        <v>0.3888888889</v>
      </c>
      <c r="F87" s="35">
        <v>2.0</v>
      </c>
      <c r="G87" s="35">
        <v>2.0</v>
      </c>
      <c r="H87" s="31" t="s">
        <v>194</v>
      </c>
    </row>
    <row r="88" ht="14.25" customHeight="1">
      <c r="A88" s="31" t="s">
        <v>357</v>
      </c>
      <c r="B88" s="36" t="s">
        <v>358</v>
      </c>
      <c r="C88" s="38">
        <v>55000.0</v>
      </c>
      <c r="D88" s="33">
        <v>90000.0</v>
      </c>
      <c r="E88" s="34">
        <f t="shared" si="2"/>
        <v>0.3888888889</v>
      </c>
      <c r="F88" s="35">
        <v>1.0</v>
      </c>
      <c r="G88" s="35">
        <v>1.0</v>
      </c>
      <c r="H88" s="31" t="s">
        <v>194</v>
      </c>
    </row>
    <row r="89" ht="14.25" customHeight="1">
      <c r="A89" s="31" t="s">
        <v>359</v>
      </c>
      <c r="B89" s="36" t="s">
        <v>360</v>
      </c>
      <c r="C89" s="38">
        <v>55000.0</v>
      </c>
      <c r="D89" s="33">
        <v>90000.0</v>
      </c>
      <c r="E89" s="34">
        <f t="shared" si="2"/>
        <v>0.3888888889</v>
      </c>
      <c r="F89" s="35">
        <v>2.0</v>
      </c>
      <c r="G89" s="35">
        <v>2.0</v>
      </c>
      <c r="H89" s="31" t="s">
        <v>194</v>
      </c>
    </row>
    <row r="90" ht="14.25" customHeight="1">
      <c r="A90" s="31" t="s">
        <v>361</v>
      </c>
      <c r="B90" s="39" t="s">
        <v>362</v>
      </c>
      <c r="C90" s="38">
        <v>55000.0</v>
      </c>
      <c r="D90" s="33">
        <v>90000.0</v>
      </c>
      <c r="E90" s="34">
        <f t="shared" si="2"/>
        <v>0.3888888889</v>
      </c>
      <c r="F90" s="35">
        <v>1.0</v>
      </c>
      <c r="G90" s="35">
        <v>1.0</v>
      </c>
      <c r="H90" s="31" t="s">
        <v>194</v>
      </c>
    </row>
    <row r="91" ht="14.25" customHeight="1">
      <c r="A91" s="31" t="s">
        <v>363</v>
      </c>
      <c r="B91" s="39" t="s">
        <v>364</v>
      </c>
      <c r="C91" s="38">
        <v>55000.0</v>
      </c>
      <c r="D91" s="33">
        <v>90000.0</v>
      </c>
      <c r="E91" s="34">
        <f t="shared" si="2"/>
        <v>0.3888888889</v>
      </c>
      <c r="F91" s="35">
        <v>2.0</v>
      </c>
      <c r="G91" s="35">
        <v>2.0</v>
      </c>
      <c r="H91" s="31" t="s">
        <v>194</v>
      </c>
    </row>
    <row r="92" ht="14.25" customHeight="1">
      <c r="A92" s="31" t="s">
        <v>365</v>
      </c>
      <c r="B92" s="39" t="s">
        <v>366</v>
      </c>
      <c r="C92" s="33">
        <v>45000.0</v>
      </c>
      <c r="D92" s="33">
        <v>90000.0</v>
      </c>
      <c r="E92" s="34">
        <f t="shared" si="2"/>
        <v>0.5</v>
      </c>
      <c r="F92" s="35">
        <v>1.0</v>
      </c>
      <c r="G92" s="35">
        <v>1.0</v>
      </c>
      <c r="H92" s="31" t="s">
        <v>194</v>
      </c>
    </row>
    <row r="93" ht="14.25" customHeight="1">
      <c r="A93" s="31" t="s">
        <v>367</v>
      </c>
      <c r="B93" s="39" t="s">
        <v>368</v>
      </c>
      <c r="C93" s="33">
        <v>45000.0</v>
      </c>
      <c r="D93" s="33">
        <v>90000.0</v>
      </c>
      <c r="E93" s="34">
        <f t="shared" si="2"/>
        <v>0.5</v>
      </c>
      <c r="F93" s="35">
        <v>1.0</v>
      </c>
      <c r="G93" s="35">
        <v>1.0</v>
      </c>
      <c r="H93" s="31" t="s">
        <v>194</v>
      </c>
    </row>
    <row r="94" ht="14.25" customHeight="1">
      <c r="A94" s="31" t="s">
        <v>369</v>
      </c>
      <c r="B94" s="39" t="s">
        <v>370</v>
      </c>
      <c r="C94" s="33">
        <v>45000.0</v>
      </c>
      <c r="D94" s="33">
        <v>90000.0</v>
      </c>
      <c r="E94" s="34">
        <f t="shared" si="2"/>
        <v>0.5</v>
      </c>
      <c r="F94" s="35">
        <v>1.0</v>
      </c>
      <c r="G94" s="35">
        <v>1.0</v>
      </c>
      <c r="H94" s="31" t="s">
        <v>194</v>
      </c>
    </row>
    <row r="95" ht="14.25" customHeight="1">
      <c r="A95" s="31" t="s">
        <v>371</v>
      </c>
      <c r="B95" s="39" t="s">
        <v>372</v>
      </c>
      <c r="C95" s="33">
        <v>45000.0</v>
      </c>
      <c r="D95" s="33">
        <v>90000.0</v>
      </c>
      <c r="E95" s="34">
        <f t="shared" si="2"/>
        <v>0.5</v>
      </c>
      <c r="F95" s="35">
        <v>1.0</v>
      </c>
      <c r="G95" s="35">
        <v>1.0</v>
      </c>
      <c r="H95" s="31" t="s">
        <v>194</v>
      </c>
    </row>
    <row r="96" ht="14.25" customHeight="1">
      <c r="A96" s="31" t="s">
        <v>373</v>
      </c>
      <c r="B96" s="39" t="s">
        <v>374</v>
      </c>
      <c r="C96" s="33">
        <v>45000.0</v>
      </c>
      <c r="D96" s="33">
        <v>90000.0</v>
      </c>
      <c r="E96" s="34">
        <f t="shared" si="2"/>
        <v>0.5</v>
      </c>
      <c r="F96" s="35">
        <v>1.0</v>
      </c>
      <c r="G96" s="35">
        <v>1.0</v>
      </c>
      <c r="H96" s="31" t="s">
        <v>194</v>
      </c>
    </row>
    <row r="97" ht="14.25" customHeight="1">
      <c r="A97" s="31" t="s">
        <v>375</v>
      </c>
      <c r="B97" s="36" t="s">
        <v>376</v>
      </c>
      <c r="C97" s="33">
        <v>45000.0</v>
      </c>
      <c r="D97" s="33">
        <v>90000.0</v>
      </c>
      <c r="E97" s="34">
        <f t="shared" si="2"/>
        <v>0.5</v>
      </c>
      <c r="F97" s="35">
        <v>1.0</v>
      </c>
      <c r="G97" s="35">
        <v>1.0</v>
      </c>
      <c r="H97" s="31" t="s">
        <v>194</v>
      </c>
    </row>
    <row r="98" ht="14.25" customHeight="1">
      <c r="A98" s="31" t="s">
        <v>377</v>
      </c>
      <c r="B98" s="39" t="s">
        <v>378</v>
      </c>
      <c r="C98" s="33">
        <v>45000.0</v>
      </c>
      <c r="D98" s="33">
        <v>90000.0</v>
      </c>
      <c r="E98" s="34">
        <f t="shared" si="2"/>
        <v>0.5</v>
      </c>
      <c r="F98" s="35">
        <v>2.0</v>
      </c>
      <c r="G98" s="35">
        <v>2.0</v>
      </c>
      <c r="H98" s="31" t="s">
        <v>194</v>
      </c>
    </row>
    <row r="99" ht="14.25" customHeight="1">
      <c r="A99" s="31" t="s">
        <v>379</v>
      </c>
      <c r="B99" s="39" t="s">
        <v>380</v>
      </c>
      <c r="C99" s="33">
        <v>45000.0</v>
      </c>
      <c r="D99" s="33">
        <v>90000.0</v>
      </c>
      <c r="E99" s="34">
        <f t="shared" si="2"/>
        <v>0.5</v>
      </c>
      <c r="F99" s="35">
        <v>2.0</v>
      </c>
      <c r="G99" s="35">
        <v>2.0</v>
      </c>
      <c r="H99" s="31" t="s">
        <v>194</v>
      </c>
    </row>
    <row r="100" ht="14.25" customHeight="1">
      <c r="A100" s="31" t="s">
        <v>381</v>
      </c>
      <c r="B100" s="39" t="s">
        <v>382</v>
      </c>
      <c r="C100" s="33">
        <v>45000.0</v>
      </c>
      <c r="D100" s="33">
        <v>90000.0</v>
      </c>
      <c r="E100" s="34">
        <f t="shared" si="2"/>
        <v>0.5</v>
      </c>
      <c r="F100" s="35">
        <v>2.0</v>
      </c>
      <c r="G100" s="35">
        <v>2.0</v>
      </c>
      <c r="H100" s="31" t="s">
        <v>194</v>
      </c>
    </row>
    <row r="101" ht="14.25" customHeight="1">
      <c r="A101" s="40" t="s">
        <v>383</v>
      </c>
      <c r="B101" s="36" t="s">
        <v>384</v>
      </c>
      <c r="C101" s="33">
        <v>60000.0</v>
      </c>
      <c r="D101" s="33">
        <v>75000.0</v>
      </c>
      <c r="E101" s="34">
        <f t="shared" si="2"/>
        <v>0.2</v>
      </c>
      <c r="F101" s="35">
        <v>8.0</v>
      </c>
      <c r="G101" s="35">
        <v>8.0</v>
      </c>
      <c r="H101" s="40" t="s">
        <v>385</v>
      </c>
    </row>
    <row r="102" ht="14.25" customHeight="1">
      <c r="A102" s="40" t="s">
        <v>386</v>
      </c>
      <c r="B102" s="39" t="s">
        <v>387</v>
      </c>
      <c r="C102" s="33">
        <v>54000.0</v>
      </c>
      <c r="D102" s="33">
        <v>75000.0</v>
      </c>
      <c r="E102" s="34">
        <f t="shared" si="2"/>
        <v>0.28</v>
      </c>
      <c r="F102" s="35">
        <v>22.0</v>
      </c>
      <c r="G102" s="35">
        <v>22.0</v>
      </c>
      <c r="H102" s="40" t="s">
        <v>385</v>
      </c>
    </row>
    <row r="103" ht="14.25" customHeight="1">
      <c r="A103" s="41"/>
      <c r="B103" s="41"/>
      <c r="C103" s="42"/>
      <c r="D103" s="42"/>
      <c r="E103" s="41"/>
      <c r="F103" s="41"/>
      <c r="G103" s="41"/>
      <c r="H103" s="41"/>
    </row>
    <row r="104" ht="14.25" customHeight="1">
      <c r="A104" s="25"/>
      <c r="B104" s="25"/>
      <c r="C104" s="26"/>
      <c r="D104" s="26"/>
      <c r="E104" s="25"/>
      <c r="F104" s="25"/>
      <c r="G104" s="25"/>
      <c r="H104" s="25"/>
    </row>
    <row r="105" ht="14.25" customHeight="1">
      <c r="A105" s="25"/>
      <c r="B105" s="25"/>
      <c r="C105" s="26"/>
      <c r="D105" s="26"/>
      <c r="E105" s="25"/>
      <c r="F105" s="25"/>
      <c r="G105" s="25"/>
      <c r="H105" s="25"/>
    </row>
    <row r="106" ht="14.25" customHeight="1">
      <c r="A106" s="25"/>
      <c r="B106" s="25"/>
      <c r="C106" s="26"/>
      <c r="D106" s="26"/>
      <c r="E106" s="25"/>
      <c r="F106" s="25"/>
      <c r="G106" s="25"/>
      <c r="H106" s="25"/>
    </row>
    <row r="107" ht="14.25" customHeight="1">
      <c r="A107" s="25"/>
      <c r="B107" s="25"/>
      <c r="C107" s="26"/>
      <c r="D107" s="26"/>
      <c r="E107" s="25"/>
      <c r="F107" s="25"/>
      <c r="G107" s="25"/>
      <c r="H107" s="25"/>
    </row>
    <row r="108" ht="14.25" customHeight="1">
      <c r="A108" s="25"/>
      <c r="B108" s="25"/>
      <c r="C108" s="26"/>
      <c r="D108" s="26"/>
      <c r="E108" s="25"/>
      <c r="F108" s="25"/>
      <c r="G108" s="25"/>
      <c r="H108" s="25"/>
    </row>
    <row r="109" ht="14.25" customHeight="1">
      <c r="A109" s="25"/>
      <c r="B109" s="25"/>
      <c r="C109" s="26"/>
      <c r="D109" s="26"/>
      <c r="E109" s="25"/>
      <c r="F109" s="25"/>
      <c r="G109" s="25"/>
      <c r="H109" s="25"/>
    </row>
    <row r="110" ht="14.25" customHeight="1">
      <c r="A110" s="25"/>
      <c r="B110" s="25"/>
      <c r="C110" s="26"/>
      <c r="D110" s="26"/>
      <c r="E110" s="25"/>
      <c r="F110" s="25"/>
      <c r="G110" s="25"/>
      <c r="H110" s="25"/>
    </row>
    <row r="111" ht="14.25" customHeight="1">
      <c r="A111" s="25"/>
      <c r="B111" s="25"/>
      <c r="C111" s="26"/>
      <c r="D111" s="26"/>
      <c r="E111" s="25"/>
      <c r="F111" s="25"/>
      <c r="G111" s="25"/>
      <c r="H111" s="25"/>
    </row>
    <row r="112" ht="14.25" customHeight="1">
      <c r="A112" s="25"/>
      <c r="B112" s="25"/>
      <c r="C112" s="26"/>
      <c r="D112" s="26"/>
      <c r="E112" s="25"/>
      <c r="F112" s="25"/>
      <c r="G112" s="25"/>
      <c r="H112" s="25"/>
    </row>
    <row r="113" ht="14.25" customHeight="1">
      <c r="A113" s="25"/>
      <c r="B113" s="25"/>
      <c r="C113" s="26"/>
      <c r="D113" s="26"/>
      <c r="E113" s="25"/>
      <c r="F113" s="25"/>
      <c r="G113" s="25"/>
      <c r="H113" s="25"/>
    </row>
    <row r="114" ht="14.25" customHeight="1">
      <c r="A114" s="25"/>
      <c r="B114" s="25"/>
      <c r="C114" s="26"/>
      <c r="D114" s="26"/>
      <c r="E114" s="25"/>
      <c r="F114" s="25"/>
      <c r="G114" s="25"/>
      <c r="H114" s="25"/>
    </row>
    <row r="115" ht="14.25" customHeight="1">
      <c r="A115" s="25"/>
      <c r="B115" s="25"/>
      <c r="C115" s="26"/>
      <c r="D115" s="26"/>
      <c r="E115" s="25"/>
      <c r="F115" s="25"/>
      <c r="G115" s="25"/>
      <c r="H115" s="25"/>
    </row>
    <row r="116" ht="14.25" customHeight="1">
      <c r="A116" s="25"/>
      <c r="B116" s="25"/>
      <c r="C116" s="26"/>
      <c r="D116" s="26"/>
      <c r="E116" s="25"/>
      <c r="F116" s="25"/>
      <c r="G116" s="25"/>
      <c r="H116" s="25"/>
    </row>
    <row r="117" ht="14.25" customHeight="1">
      <c r="A117" s="25"/>
      <c r="B117" s="25"/>
      <c r="C117" s="26"/>
      <c r="D117" s="26"/>
      <c r="E117" s="25"/>
      <c r="F117" s="25"/>
      <c r="G117" s="25"/>
      <c r="H117" s="25"/>
    </row>
    <row r="118" ht="14.25" customHeight="1">
      <c r="A118" s="25"/>
      <c r="B118" s="25"/>
      <c r="C118" s="26"/>
      <c r="D118" s="26"/>
      <c r="E118" s="25"/>
      <c r="F118" s="25"/>
      <c r="G118" s="25"/>
      <c r="H118" s="25"/>
    </row>
    <row r="119" ht="14.25" customHeight="1">
      <c r="A119" s="25"/>
      <c r="B119" s="25"/>
      <c r="C119" s="26"/>
      <c r="D119" s="26"/>
      <c r="E119" s="25"/>
      <c r="F119" s="25"/>
      <c r="G119" s="25"/>
      <c r="H119" s="25"/>
    </row>
    <row r="120" ht="14.25" customHeight="1">
      <c r="A120" s="25"/>
      <c r="B120" s="25"/>
      <c r="C120" s="26"/>
      <c r="D120" s="26"/>
      <c r="E120" s="25"/>
      <c r="F120" s="25"/>
      <c r="G120" s="25"/>
      <c r="H120" s="25"/>
    </row>
    <row r="121" ht="14.25" customHeight="1">
      <c r="A121" s="25"/>
      <c r="B121" s="25"/>
      <c r="C121" s="26"/>
      <c r="D121" s="26"/>
      <c r="E121" s="25"/>
      <c r="F121" s="25"/>
      <c r="G121" s="25"/>
      <c r="H121" s="25"/>
    </row>
    <row r="122" ht="14.25" customHeight="1">
      <c r="A122" s="25"/>
      <c r="B122" s="25"/>
      <c r="C122" s="26"/>
      <c r="D122" s="26"/>
      <c r="E122" s="25"/>
      <c r="F122" s="25"/>
      <c r="G122" s="25"/>
      <c r="H122" s="25"/>
    </row>
    <row r="123" ht="14.25" customHeight="1">
      <c r="A123" s="25"/>
      <c r="B123" s="25"/>
      <c r="C123" s="26"/>
      <c r="D123" s="26"/>
      <c r="E123" s="25"/>
      <c r="F123" s="25"/>
      <c r="G123" s="25"/>
      <c r="H123" s="25"/>
    </row>
    <row r="124" ht="14.25" customHeight="1">
      <c r="A124" s="25"/>
      <c r="B124" s="25"/>
      <c r="C124" s="26"/>
      <c r="D124" s="26"/>
      <c r="E124" s="25"/>
      <c r="F124" s="25"/>
      <c r="G124" s="25"/>
      <c r="H124" s="25"/>
    </row>
    <row r="125" ht="14.25" customHeight="1">
      <c r="A125" s="25"/>
      <c r="B125" s="25"/>
      <c r="C125" s="26"/>
      <c r="D125" s="26"/>
      <c r="E125" s="25"/>
      <c r="F125" s="25"/>
      <c r="G125" s="25"/>
      <c r="H125" s="25"/>
    </row>
    <row r="126" ht="14.25" customHeight="1">
      <c r="A126" s="25"/>
      <c r="B126" s="25"/>
      <c r="C126" s="26"/>
      <c r="D126" s="26"/>
      <c r="E126" s="25"/>
      <c r="F126" s="25"/>
      <c r="G126" s="25"/>
      <c r="H126" s="25"/>
    </row>
    <row r="127" ht="14.25" customHeight="1">
      <c r="A127" s="25"/>
      <c r="B127" s="25"/>
      <c r="C127" s="26"/>
      <c r="D127" s="26"/>
      <c r="E127" s="25"/>
      <c r="F127" s="25"/>
      <c r="G127" s="25"/>
      <c r="H127" s="25"/>
    </row>
    <row r="128" ht="14.25" customHeight="1">
      <c r="A128" s="25"/>
      <c r="B128" s="25"/>
      <c r="C128" s="26"/>
      <c r="D128" s="26"/>
      <c r="E128" s="25"/>
      <c r="F128" s="25"/>
      <c r="G128" s="25"/>
      <c r="H128" s="25"/>
    </row>
    <row r="129" ht="14.25" customHeight="1">
      <c r="A129" s="25"/>
      <c r="B129" s="25"/>
      <c r="C129" s="26"/>
      <c r="D129" s="26"/>
      <c r="E129" s="25"/>
      <c r="F129" s="25"/>
      <c r="G129" s="25"/>
      <c r="H129" s="25"/>
    </row>
    <row r="130" ht="14.25" customHeight="1">
      <c r="A130" s="25"/>
      <c r="B130" s="25"/>
      <c r="C130" s="26"/>
      <c r="D130" s="26"/>
      <c r="E130" s="25"/>
      <c r="F130" s="25"/>
      <c r="G130" s="25"/>
      <c r="H130" s="25"/>
    </row>
    <row r="131" ht="14.25" customHeight="1">
      <c r="A131" s="25"/>
      <c r="B131" s="25"/>
      <c r="C131" s="26"/>
      <c r="D131" s="26"/>
      <c r="E131" s="25"/>
      <c r="F131" s="25"/>
      <c r="G131" s="25"/>
      <c r="H131" s="25"/>
    </row>
    <row r="132" ht="14.25" customHeight="1">
      <c r="A132" s="25"/>
      <c r="B132" s="25"/>
      <c r="C132" s="26"/>
      <c r="D132" s="26"/>
      <c r="E132" s="25"/>
      <c r="F132" s="25"/>
      <c r="G132" s="25"/>
      <c r="H132" s="25"/>
    </row>
    <row r="133" ht="14.25" customHeight="1">
      <c r="A133" s="25"/>
      <c r="B133" s="25"/>
      <c r="C133" s="26"/>
      <c r="D133" s="26"/>
      <c r="E133" s="25"/>
      <c r="F133" s="25"/>
      <c r="G133" s="25"/>
      <c r="H133" s="25"/>
    </row>
    <row r="134" ht="14.25" customHeight="1">
      <c r="A134" s="25"/>
      <c r="B134" s="25"/>
      <c r="C134" s="26"/>
      <c r="D134" s="26"/>
      <c r="E134" s="25"/>
      <c r="F134" s="25"/>
      <c r="G134" s="25"/>
      <c r="H134" s="25"/>
    </row>
    <row r="135" ht="14.25" customHeight="1">
      <c r="A135" s="25"/>
      <c r="B135" s="25"/>
      <c r="C135" s="26"/>
      <c r="D135" s="26"/>
      <c r="E135" s="25"/>
      <c r="F135" s="25"/>
      <c r="G135" s="25"/>
      <c r="H135" s="25"/>
    </row>
    <row r="136" ht="14.25" customHeight="1">
      <c r="A136" s="25"/>
      <c r="B136" s="25"/>
      <c r="C136" s="26"/>
      <c r="D136" s="26"/>
      <c r="E136" s="25"/>
      <c r="F136" s="25"/>
      <c r="G136" s="25"/>
      <c r="H136" s="25"/>
    </row>
    <row r="137" ht="14.25" customHeight="1">
      <c r="A137" s="25"/>
      <c r="B137" s="25"/>
      <c r="C137" s="26"/>
      <c r="D137" s="26"/>
      <c r="E137" s="25"/>
      <c r="F137" s="25"/>
      <c r="G137" s="25"/>
      <c r="H137" s="25"/>
    </row>
    <row r="138" ht="14.25" customHeight="1">
      <c r="A138" s="25"/>
      <c r="B138" s="25"/>
      <c r="C138" s="26"/>
      <c r="D138" s="26"/>
      <c r="E138" s="25"/>
      <c r="F138" s="25"/>
      <c r="G138" s="25"/>
      <c r="H138" s="25"/>
    </row>
    <row r="139" ht="14.25" customHeight="1">
      <c r="A139" s="25"/>
      <c r="B139" s="25"/>
      <c r="C139" s="26"/>
      <c r="D139" s="26"/>
      <c r="E139" s="25"/>
      <c r="F139" s="25"/>
      <c r="G139" s="25"/>
      <c r="H139" s="25"/>
    </row>
    <row r="140" ht="14.25" customHeight="1">
      <c r="A140" s="25"/>
      <c r="B140" s="25"/>
      <c r="C140" s="26"/>
      <c r="D140" s="26"/>
      <c r="E140" s="25"/>
      <c r="F140" s="25"/>
      <c r="G140" s="25"/>
      <c r="H140" s="25"/>
    </row>
    <row r="141" ht="14.25" customHeight="1">
      <c r="A141" s="25"/>
      <c r="B141" s="25"/>
      <c r="C141" s="26"/>
      <c r="D141" s="26"/>
      <c r="E141" s="25"/>
      <c r="F141" s="25"/>
      <c r="G141" s="25"/>
      <c r="H141" s="25"/>
    </row>
    <row r="142" ht="14.25" customHeight="1">
      <c r="A142" s="25"/>
      <c r="B142" s="25"/>
      <c r="C142" s="26"/>
      <c r="D142" s="26"/>
      <c r="E142" s="25"/>
      <c r="F142" s="25"/>
      <c r="G142" s="25"/>
      <c r="H142" s="25"/>
    </row>
    <row r="143" ht="14.25" customHeight="1">
      <c r="A143" s="25"/>
      <c r="B143" s="25"/>
      <c r="C143" s="26"/>
      <c r="D143" s="26"/>
      <c r="E143" s="25"/>
      <c r="F143" s="25"/>
      <c r="G143" s="25"/>
      <c r="H143" s="25"/>
    </row>
    <row r="144" ht="14.25" customHeight="1">
      <c r="A144" s="25"/>
      <c r="B144" s="25"/>
      <c r="C144" s="26"/>
      <c r="D144" s="26"/>
      <c r="E144" s="25"/>
      <c r="F144" s="25"/>
      <c r="G144" s="25"/>
      <c r="H144" s="25"/>
    </row>
    <row r="145" ht="14.25" customHeight="1">
      <c r="A145" s="25"/>
      <c r="B145" s="25"/>
      <c r="C145" s="26"/>
      <c r="D145" s="26"/>
      <c r="E145" s="25"/>
      <c r="F145" s="25"/>
      <c r="G145" s="25"/>
      <c r="H145" s="25"/>
    </row>
    <row r="146" ht="14.25" customHeight="1">
      <c r="A146" s="25"/>
      <c r="B146" s="25"/>
      <c r="C146" s="26"/>
      <c r="D146" s="26"/>
      <c r="E146" s="25"/>
      <c r="F146" s="25"/>
      <c r="G146" s="25"/>
      <c r="H146" s="25"/>
    </row>
    <row r="147" ht="14.25" customHeight="1">
      <c r="A147" s="25"/>
      <c r="B147" s="25"/>
      <c r="C147" s="26"/>
      <c r="D147" s="26"/>
      <c r="E147" s="25"/>
      <c r="F147" s="25"/>
      <c r="G147" s="25"/>
      <c r="H147" s="25"/>
    </row>
    <row r="148" ht="14.25" customHeight="1">
      <c r="A148" s="25"/>
      <c r="B148" s="25"/>
      <c r="C148" s="26"/>
      <c r="D148" s="26"/>
      <c r="E148" s="25"/>
      <c r="F148" s="25"/>
      <c r="G148" s="25"/>
      <c r="H148" s="25"/>
    </row>
    <row r="149" ht="14.25" customHeight="1">
      <c r="A149" s="25"/>
      <c r="B149" s="25"/>
      <c r="C149" s="26"/>
      <c r="D149" s="26"/>
      <c r="E149" s="25"/>
      <c r="F149" s="25"/>
      <c r="G149" s="25"/>
      <c r="H149" s="25"/>
    </row>
    <row r="150" ht="14.25" customHeight="1">
      <c r="A150" s="25"/>
      <c r="B150" s="25"/>
      <c r="C150" s="26"/>
      <c r="D150" s="26"/>
      <c r="E150" s="25"/>
      <c r="F150" s="25"/>
      <c r="G150" s="25"/>
      <c r="H150" s="25"/>
    </row>
    <row r="151" ht="14.25" customHeight="1">
      <c r="A151" s="25"/>
      <c r="B151" s="25"/>
      <c r="C151" s="26"/>
      <c r="D151" s="26"/>
      <c r="E151" s="25"/>
      <c r="F151" s="25"/>
      <c r="G151" s="25"/>
      <c r="H151" s="25"/>
    </row>
    <row r="152" ht="14.25" customHeight="1">
      <c r="A152" s="25"/>
      <c r="B152" s="25"/>
      <c r="C152" s="26"/>
      <c r="D152" s="26"/>
      <c r="E152" s="25"/>
      <c r="F152" s="25"/>
      <c r="G152" s="25"/>
      <c r="H152" s="25"/>
    </row>
    <row r="153" ht="14.25" customHeight="1">
      <c r="A153" s="25"/>
      <c r="B153" s="25"/>
      <c r="C153" s="26"/>
      <c r="D153" s="26"/>
      <c r="E153" s="25"/>
      <c r="F153" s="25"/>
      <c r="G153" s="25"/>
      <c r="H153" s="25"/>
    </row>
    <row r="154" ht="14.25" customHeight="1">
      <c r="A154" s="25"/>
      <c r="B154" s="25"/>
      <c r="C154" s="26"/>
      <c r="D154" s="26"/>
      <c r="E154" s="25"/>
      <c r="F154" s="25"/>
      <c r="G154" s="25"/>
      <c r="H154" s="25"/>
    </row>
    <row r="155" ht="14.25" customHeight="1">
      <c r="A155" s="25"/>
      <c r="B155" s="25"/>
      <c r="C155" s="26"/>
      <c r="D155" s="26"/>
      <c r="E155" s="25"/>
      <c r="F155" s="25"/>
      <c r="G155" s="25"/>
      <c r="H155" s="25"/>
    </row>
    <row r="156" ht="14.25" customHeight="1">
      <c r="A156" s="25"/>
      <c r="B156" s="25"/>
      <c r="C156" s="26"/>
      <c r="D156" s="26"/>
      <c r="E156" s="25"/>
      <c r="F156" s="25"/>
      <c r="G156" s="25"/>
      <c r="H156" s="25"/>
    </row>
    <row r="157" ht="14.25" customHeight="1">
      <c r="A157" s="25"/>
      <c r="B157" s="25"/>
      <c r="C157" s="26"/>
      <c r="D157" s="26"/>
      <c r="E157" s="25"/>
      <c r="F157" s="25"/>
      <c r="G157" s="25"/>
      <c r="H157" s="25"/>
    </row>
    <row r="158" ht="14.25" customHeight="1">
      <c r="A158" s="25"/>
      <c r="B158" s="25"/>
      <c r="C158" s="26"/>
      <c r="D158" s="26"/>
      <c r="E158" s="25"/>
      <c r="F158" s="25"/>
      <c r="G158" s="25"/>
      <c r="H158" s="25"/>
    </row>
    <row r="159" ht="14.25" customHeight="1">
      <c r="A159" s="25"/>
      <c r="B159" s="25"/>
      <c r="C159" s="26"/>
      <c r="D159" s="26"/>
      <c r="E159" s="25"/>
      <c r="F159" s="25"/>
      <c r="G159" s="25"/>
      <c r="H159" s="25"/>
    </row>
    <row r="160" ht="14.25" customHeight="1">
      <c r="A160" s="25"/>
      <c r="B160" s="25"/>
      <c r="C160" s="26"/>
      <c r="D160" s="26"/>
      <c r="E160" s="25"/>
      <c r="F160" s="25"/>
      <c r="G160" s="25"/>
      <c r="H160" s="25"/>
    </row>
    <row r="161" ht="14.25" customHeight="1">
      <c r="A161" s="25"/>
      <c r="B161" s="25"/>
      <c r="C161" s="26"/>
      <c r="D161" s="26"/>
      <c r="E161" s="25"/>
      <c r="F161" s="25"/>
      <c r="G161" s="25"/>
      <c r="H161" s="25"/>
    </row>
    <row r="162" ht="14.25" customHeight="1">
      <c r="A162" s="25"/>
      <c r="B162" s="25"/>
      <c r="C162" s="26"/>
      <c r="D162" s="26"/>
      <c r="E162" s="25"/>
      <c r="F162" s="25"/>
      <c r="G162" s="25"/>
      <c r="H162" s="25"/>
    </row>
    <row r="163" ht="14.25" customHeight="1">
      <c r="A163" s="25"/>
      <c r="B163" s="25"/>
      <c r="C163" s="26"/>
      <c r="D163" s="26"/>
      <c r="E163" s="25"/>
      <c r="F163" s="25"/>
      <c r="G163" s="25"/>
      <c r="H163" s="25"/>
    </row>
    <row r="164" ht="14.25" customHeight="1">
      <c r="A164" s="25"/>
      <c r="B164" s="25"/>
      <c r="C164" s="26"/>
      <c r="D164" s="26"/>
      <c r="E164" s="25"/>
      <c r="F164" s="25"/>
      <c r="G164" s="25"/>
      <c r="H164" s="25"/>
    </row>
    <row r="165" ht="14.25" customHeight="1">
      <c r="A165" s="25"/>
      <c r="B165" s="25"/>
      <c r="C165" s="26"/>
      <c r="D165" s="26"/>
      <c r="E165" s="25"/>
      <c r="F165" s="25"/>
      <c r="G165" s="25"/>
      <c r="H165" s="25"/>
    </row>
    <row r="166" ht="14.25" customHeight="1">
      <c r="A166" s="25"/>
      <c r="B166" s="25"/>
      <c r="C166" s="26"/>
      <c r="D166" s="26"/>
      <c r="E166" s="25"/>
      <c r="F166" s="25"/>
      <c r="G166" s="25"/>
      <c r="H166" s="25"/>
    </row>
    <row r="167" ht="14.25" customHeight="1">
      <c r="A167" s="25"/>
      <c r="B167" s="25"/>
      <c r="C167" s="26"/>
      <c r="D167" s="26"/>
      <c r="E167" s="25"/>
      <c r="F167" s="25"/>
      <c r="G167" s="25"/>
      <c r="H167" s="25"/>
    </row>
    <row r="168" ht="14.25" customHeight="1">
      <c r="A168" s="25"/>
      <c r="B168" s="25"/>
      <c r="C168" s="26"/>
      <c r="D168" s="26"/>
      <c r="E168" s="25"/>
      <c r="F168" s="25"/>
      <c r="G168" s="25"/>
      <c r="H168" s="25"/>
    </row>
    <row r="169" ht="14.25" customHeight="1">
      <c r="A169" s="25"/>
      <c r="B169" s="25"/>
      <c r="C169" s="26"/>
      <c r="D169" s="26"/>
      <c r="E169" s="25"/>
      <c r="F169" s="25"/>
      <c r="G169" s="25"/>
      <c r="H169" s="25"/>
    </row>
    <row r="170" ht="14.25" customHeight="1">
      <c r="A170" s="25"/>
      <c r="B170" s="25"/>
      <c r="C170" s="26"/>
      <c r="D170" s="26"/>
      <c r="E170" s="25"/>
      <c r="F170" s="25"/>
      <c r="G170" s="25"/>
      <c r="H170" s="25"/>
    </row>
    <row r="171" ht="14.25" customHeight="1">
      <c r="A171" s="25"/>
      <c r="B171" s="25"/>
      <c r="C171" s="26"/>
      <c r="D171" s="26"/>
      <c r="E171" s="25"/>
      <c r="F171" s="25"/>
      <c r="G171" s="25"/>
      <c r="H171" s="25"/>
    </row>
    <row r="172" ht="14.25" customHeight="1">
      <c r="A172" s="25"/>
      <c r="B172" s="25"/>
      <c r="C172" s="26"/>
      <c r="D172" s="26"/>
      <c r="E172" s="25"/>
      <c r="F172" s="25"/>
      <c r="G172" s="25"/>
      <c r="H172" s="25"/>
    </row>
    <row r="173" ht="14.25" customHeight="1">
      <c r="A173" s="25"/>
      <c r="B173" s="25"/>
      <c r="C173" s="26"/>
      <c r="D173" s="26"/>
      <c r="E173" s="25"/>
      <c r="F173" s="25"/>
      <c r="G173" s="25"/>
      <c r="H173" s="25"/>
    </row>
    <row r="174" ht="14.25" customHeight="1">
      <c r="A174" s="25"/>
      <c r="B174" s="25"/>
      <c r="C174" s="26"/>
      <c r="D174" s="26"/>
      <c r="E174" s="25"/>
      <c r="F174" s="25"/>
      <c r="G174" s="25"/>
      <c r="H174" s="25"/>
    </row>
    <row r="175" ht="14.25" customHeight="1">
      <c r="A175" s="25"/>
      <c r="B175" s="25"/>
      <c r="C175" s="26"/>
      <c r="D175" s="26"/>
      <c r="E175" s="25"/>
      <c r="F175" s="25"/>
      <c r="G175" s="25"/>
      <c r="H175" s="25"/>
    </row>
    <row r="176" ht="14.25" customHeight="1">
      <c r="A176" s="25"/>
      <c r="B176" s="25"/>
      <c r="C176" s="26"/>
      <c r="D176" s="26"/>
      <c r="E176" s="25"/>
      <c r="F176" s="25"/>
      <c r="G176" s="25"/>
      <c r="H176" s="25"/>
    </row>
    <row r="177" ht="14.25" customHeight="1">
      <c r="A177" s="25"/>
      <c r="B177" s="25"/>
      <c r="C177" s="26"/>
      <c r="D177" s="26"/>
      <c r="E177" s="25"/>
      <c r="F177" s="25"/>
      <c r="G177" s="25"/>
      <c r="H177" s="25"/>
    </row>
    <row r="178" ht="14.25" customHeight="1">
      <c r="A178" s="25"/>
      <c r="B178" s="25"/>
      <c r="C178" s="26"/>
      <c r="D178" s="26"/>
      <c r="E178" s="25"/>
      <c r="F178" s="25"/>
      <c r="G178" s="25"/>
      <c r="H178" s="25"/>
    </row>
    <row r="179" ht="14.25" customHeight="1">
      <c r="A179" s="25"/>
      <c r="B179" s="25"/>
      <c r="C179" s="26"/>
      <c r="D179" s="26"/>
      <c r="E179" s="25"/>
      <c r="F179" s="25"/>
      <c r="G179" s="25"/>
      <c r="H179" s="25"/>
    </row>
    <row r="180" ht="14.25" customHeight="1">
      <c r="A180" s="25"/>
      <c r="B180" s="25"/>
      <c r="C180" s="26"/>
      <c r="D180" s="26"/>
      <c r="E180" s="25"/>
      <c r="F180" s="25"/>
      <c r="G180" s="25"/>
      <c r="H180" s="25"/>
    </row>
    <row r="181" ht="14.25" customHeight="1">
      <c r="A181" s="25"/>
      <c r="B181" s="25"/>
      <c r="C181" s="26"/>
      <c r="D181" s="26"/>
      <c r="E181" s="25"/>
      <c r="F181" s="25"/>
      <c r="G181" s="25"/>
      <c r="H181" s="25"/>
    </row>
    <row r="182" ht="14.25" customHeight="1">
      <c r="A182" s="25"/>
      <c r="B182" s="25"/>
      <c r="C182" s="26"/>
      <c r="D182" s="26"/>
      <c r="E182" s="25"/>
      <c r="F182" s="25"/>
      <c r="G182" s="25"/>
      <c r="H182" s="25"/>
    </row>
    <row r="183" ht="14.25" customHeight="1">
      <c r="A183" s="25"/>
      <c r="B183" s="25"/>
      <c r="C183" s="26"/>
      <c r="D183" s="26"/>
      <c r="E183" s="25"/>
      <c r="F183" s="25"/>
      <c r="G183" s="25"/>
      <c r="H183" s="25"/>
    </row>
    <row r="184" ht="14.25" customHeight="1">
      <c r="A184" s="25"/>
      <c r="B184" s="25"/>
      <c r="C184" s="26"/>
      <c r="D184" s="26"/>
      <c r="E184" s="25"/>
      <c r="F184" s="25"/>
      <c r="G184" s="25"/>
      <c r="H184" s="25"/>
    </row>
    <row r="185" ht="14.25" customHeight="1">
      <c r="A185" s="25"/>
      <c r="B185" s="25"/>
      <c r="C185" s="26"/>
      <c r="D185" s="26"/>
      <c r="E185" s="25"/>
      <c r="F185" s="25"/>
      <c r="G185" s="25"/>
      <c r="H185" s="25"/>
    </row>
    <row r="186" ht="14.25" customHeight="1">
      <c r="A186" s="25"/>
      <c r="B186" s="25"/>
      <c r="C186" s="26"/>
      <c r="D186" s="26"/>
      <c r="E186" s="25"/>
      <c r="F186" s="25"/>
      <c r="G186" s="25"/>
      <c r="H186" s="25"/>
    </row>
    <row r="187" ht="14.25" customHeight="1">
      <c r="A187" s="25"/>
      <c r="B187" s="25"/>
      <c r="C187" s="26"/>
      <c r="D187" s="26"/>
      <c r="E187" s="25"/>
      <c r="F187" s="25"/>
      <c r="G187" s="25"/>
      <c r="H187" s="25"/>
    </row>
    <row r="188" ht="14.25" customHeight="1">
      <c r="A188" s="25"/>
      <c r="B188" s="25"/>
      <c r="C188" s="26"/>
      <c r="D188" s="26"/>
      <c r="E188" s="25"/>
      <c r="F188" s="25"/>
      <c r="G188" s="25"/>
      <c r="H188" s="25"/>
    </row>
    <row r="189" ht="14.25" customHeight="1">
      <c r="A189" s="25"/>
      <c r="B189" s="25"/>
      <c r="C189" s="26"/>
      <c r="D189" s="26"/>
      <c r="E189" s="25"/>
      <c r="F189" s="25"/>
      <c r="G189" s="25"/>
      <c r="H189" s="25"/>
    </row>
    <row r="190" ht="14.25" customHeight="1">
      <c r="A190" s="25"/>
      <c r="B190" s="25"/>
      <c r="C190" s="26"/>
      <c r="D190" s="26"/>
      <c r="E190" s="25"/>
      <c r="F190" s="25"/>
      <c r="G190" s="25"/>
      <c r="H190" s="25"/>
    </row>
    <row r="191" ht="14.25" customHeight="1">
      <c r="A191" s="25"/>
      <c r="B191" s="25"/>
      <c r="C191" s="26"/>
      <c r="D191" s="26"/>
      <c r="E191" s="25"/>
      <c r="F191" s="25"/>
      <c r="G191" s="25"/>
      <c r="H191" s="25"/>
    </row>
    <row r="192" ht="14.25" customHeight="1">
      <c r="A192" s="25"/>
      <c r="B192" s="25"/>
      <c r="C192" s="26"/>
      <c r="D192" s="26"/>
      <c r="E192" s="25"/>
      <c r="F192" s="25"/>
      <c r="G192" s="25"/>
      <c r="H192" s="25"/>
    </row>
    <row r="193" ht="14.25" customHeight="1">
      <c r="A193" s="25"/>
      <c r="B193" s="25"/>
      <c r="C193" s="26"/>
      <c r="D193" s="26"/>
      <c r="E193" s="25"/>
      <c r="F193" s="25"/>
      <c r="G193" s="25"/>
      <c r="H193" s="25"/>
    </row>
    <row r="194" ht="14.25" customHeight="1">
      <c r="A194" s="25"/>
      <c r="B194" s="25"/>
      <c r="C194" s="26"/>
      <c r="D194" s="26"/>
      <c r="E194" s="25"/>
      <c r="F194" s="25"/>
      <c r="G194" s="25"/>
      <c r="H194" s="25"/>
    </row>
    <row r="195" ht="14.25" customHeight="1">
      <c r="A195" s="25"/>
      <c r="B195" s="25"/>
      <c r="C195" s="26"/>
      <c r="D195" s="26"/>
      <c r="E195" s="25"/>
      <c r="F195" s="25"/>
      <c r="G195" s="25"/>
      <c r="H195" s="25"/>
    </row>
    <row r="196" ht="14.25" customHeight="1">
      <c r="A196" s="25"/>
      <c r="B196" s="25"/>
      <c r="C196" s="26"/>
      <c r="D196" s="26"/>
      <c r="E196" s="25"/>
      <c r="F196" s="25"/>
      <c r="G196" s="25"/>
      <c r="H196" s="25"/>
    </row>
    <row r="197" ht="14.25" customHeight="1">
      <c r="A197" s="25"/>
      <c r="B197" s="25"/>
      <c r="C197" s="26"/>
      <c r="D197" s="26"/>
      <c r="E197" s="25"/>
      <c r="F197" s="25"/>
      <c r="G197" s="25"/>
      <c r="H197" s="25"/>
    </row>
    <row r="198" ht="14.25" customHeight="1">
      <c r="A198" s="25"/>
      <c r="B198" s="25"/>
      <c r="C198" s="26"/>
      <c r="D198" s="26"/>
      <c r="E198" s="25"/>
      <c r="F198" s="25"/>
      <c r="G198" s="25"/>
      <c r="H198" s="25"/>
    </row>
    <row r="199" ht="14.25" customHeight="1">
      <c r="A199" s="25"/>
      <c r="B199" s="25"/>
      <c r="C199" s="26"/>
      <c r="D199" s="26"/>
      <c r="E199" s="25"/>
      <c r="F199" s="25"/>
      <c r="G199" s="25"/>
      <c r="H199" s="25"/>
    </row>
    <row r="200" ht="14.25" customHeight="1">
      <c r="A200" s="25"/>
      <c r="B200" s="25"/>
      <c r="C200" s="26"/>
      <c r="D200" s="26"/>
      <c r="E200" s="25"/>
      <c r="F200" s="25"/>
      <c r="G200" s="25"/>
      <c r="H200" s="25"/>
    </row>
    <row r="201" ht="14.25" customHeight="1">
      <c r="A201" s="25"/>
      <c r="B201" s="25"/>
      <c r="C201" s="26"/>
      <c r="D201" s="26"/>
      <c r="E201" s="25"/>
      <c r="F201" s="25"/>
      <c r="G201" s="25"/>
      <c r="H201" s="25"/>
    </row>
    <row r="202" ht="14.25" customHeight="1">
      <c r="A202" s="25"/>
      <c r="B202" s="25"/>
      <c r="C202" s="26"/>
      <c r="D202" s="26"/>
      <c r="E202" s="25"/>
      <c r="F202" s="25"/>
      <c r="G202" s="25"/>
      <c r="H202" s="25"/>
    </row>
    <row r="203" ht="14.25" customHeight="1">
      <c r="A203" s="25"/>
      <c r="B203" s="25"/>
      <c r="C203" s="26"/>
      <c r="D203" s="26"/>
      <c r="E203" s="25"/>
      <c r="F203" s="25"/>
      <c r="G203" s="25"/>
      <c r="H203" s="25"/>
    </row>
    <row r="204" ht="14.25" customHeight="1">
      <c r="A204" s="25"/>
      <c r="B204" s="25"/>
      <c r="C204" s="26"/>
      <c r="D204" s="26"/>
      <c r="E204" s="25"/>
      <c r="F204" s="25"/>
      <c r="G204" s="25"/>
      <c r="H204" s="25"/>
    </row>
    <row r="205" ht="14.25" customHeight="1">
      <c r="A205" s="25"/>
      <c r="B205" s="25"/>
      <c r="C205" s="26"/>
      <c r="D205" s="26"/>
      <c r="E205" s="25"/>
      <c r="F205" s="25"/>
      <c r="G205" s="25"/>
      <c r="H205" s="25"/>
    </row>
    <row r="206" ht="14.25" customHeight="1">
      <c r="A206" s="25"/>
      <c r="B206" s="25"/>
      <c r="C206" s="26"/>
      <c r="D206" s="26"/>
      <c r="E206" s="25"/>
      <c r="F206" s="25"/>
      <c r="G206" s="25"/>
      <c r="H206" s="25"/>
    </row>
    <row r="207" ht="14.25" customHeight="1">
      <c r="A207" s="25"/>
      <c r="B207" s="25"/>
      <c r="C207" s="26"/>
      <c r="D207" s="26"/>
      <c r="E207" s="25"/>
      <c r="F207" s="25"/>
      <c r="G207" s="25"/>
      <c r="H207" s="25"/>
    </row>
    <row r="208" ht="14.25" customHeight="1">
      <c r="A208" s="25"/>
      <c r="B208" s="25"/>
      <c r="C208" s="26"/>
      <c r="D208" s="26"/>
      <c r="E208" s="25"/>
      <c r="F208" s="25"/>
      <c r="G208" s="25"/>
      <c r="H208" s="25"/>
    </row>
    <row r="209" ht="14.25" customHeight="1">
      <c r="A209" s="25"/>
      <c r="B209" s="25"/>
      <c r="C209" s="26"/>
      <c r="D209" s="26"/>
      <c r="E209" s="25"/>
      <c r="F209" s="25"/>
      <c r="G209" s="25"/>
      <c r="H209" s="25"/>
    </row>
    <row r="210" ht="14.25" customHeight="1">
      <c r="A210" s="25"/>
      <c r="B210" s="25"/>
      <c r="C210" s="26"/>
      <c r="D210" s="26"/>
      <c r="E210" s="25"/>
      <c r="F210" s="25"/>
      <c r="G210" s="25"/>
      <c r="H210" s="25"/>
    </row>
    <row r="211" ht="14.25" customHeight="1">
      <c r="A211" s="25"/>
      <c r="B211" s="25"/>
      <c r="C211" s="26"/>
      <c r="D211" s="26"/>
      <c r="E211" s="25"/>
      <c r="F211" s="25"/>
      <c r="G211" s="25"/>
      <c r="H211" s="25"/>
    </row>
    <row r="212" ht="14.25" customHeight="1">
      <c r="A212" s="25"/>
      <c r="B212" s="25"/>
      <c r="C212" s="26"/>
      <c r="D212" s="26"/>
      <c r="E212" s="25"/>
      <c r="F212" s="25"/>
      <c r="G212" s="25"/>
      <c r="H212" s="25"/>
    </row>
    <row r="213" ht="14.25" customHeight="1">
      <c r="A213" s="25"/>
      <c r="B213" s="25"/>
      <c r="C213" s="26"/>
      <c r="D213" s="26"/>
      <c r="E213" s="25"/>
      <c r="F213" s="25"/>
      <c r="G213" s="25"/>
      <c r="H213" s="25"/>
    </row>
    <row r="214" ht="14.25" customHeight="1">
      <c r="A214" s="25"/>
      <c r="B214" s="25"/>
      <c r="C214" s="26"/>
      <c r="D214" s="26"/>
      <c r="E214" s="25"/>
      <c r="F214" s="25"/>
      <c r="G214" s="25"/>
      <c r="H214" s="25"/>
    </row>
    <row r="215" ht="14.25" customHeight="1">
      <c r="A215" s="25"/>
      <c r="B215" s="25"/>
      <c r="C215" s="26"/>
      <c r="D215" s="26"/>
      <c r="E215" s="25"/>
      <c r="F215" s="25"/>
      <c r="G215" s="25"/>
      <c r="H215" s="25"/>
    </row>
    <row r="216" ht="14.25" customHeight="1">
      <c r="A216" s="25"/>
      <c r="B216" s="25"/>
      <c r="C216" s="26"/>
      <c r="D216" s="26"/>
      <c r="E216" s="25"/>
      <c r="F216" s="25"/>
      <c r="G216" s="25"/>
      <c r="H216" s="25"/>
    </row>
    <row r="217" ht="14.25" customHeight="1">
      <c r="A217" s="25"/>
      <c r="B217" s="25"/>
      <c r="C217" s="26"/>
      <c r="D217" s="26"/>
      <c r="E217" s="25"/>
      <c r="F217" s="25"/>
      <c r="G217" s="25"/>
      <c r="H217" s="25"/>
    </row>
    <row r="218" ht="14.25" customHeight="1">
      <c r="A218" s="25"/>
      <c r="B218" s="25"/>
      <c r="C218" s="26"/>
      <c r="D218" s="26"/>
      <c r="E218" s="25"/>
      <c r="F218" s="25"/>
      <c r="G218" s="25"/>
      <c r="H218" s="25"/>
    </row>
    <row r="219" ht="14.25" customHeight="1">
      <c r="A219" s="25"/>
      <c r="B219" s="25"/>
      <c r="C219" s="26"/>
      <c r="D219" s="26"/>
      <c r="E219" s="25"/>
      <c r="F219" s="25"/>
      <c r="G219" s="25"/>
      <c r="H219" s="25"/>
    </row>
    <row r="220" ht="14.25" customHeight="1">
      <c r="A220" s="25"/>
      <c r="B220" s="25"/>
      <c r="C220" s="26"/>
      <c r="D220" s="26"/>
      <c r="E220" s="25"/>
      <c r="F220" s="25"/>
      <c r="G220" s="25"/>
      <c r="H220" s="25"/>
    </row>
    <row r="221" ht="14.25" customHeight="1">
      <c r="A221" s="25"/>
      <c r="B221" s="25"/>
      <c r="C221" s="26"/>
      <c r="D221" s="26"/>
      <c r="E221" s="25"/>
      <c r="F221" s="25"/>
      <c r="G221" s="25"/>
      <c r="H221" s="25"/>
    </row>
    <row r="222" ht="14.25" customHeight="1">
      <c r="A222" s="25"/>
      <c r="B222" s="25"/>
      <c r="C222" s="26"/>
      <c r="D222" s="26"/>
      <c r="E222" s="25"/>
      <c r="F222" s="25"/>
      <c r="G222" s="25"/>
      <c r="H222" s="25"/>
    </row>
    <row r="223" ht="14.25" customHeight="1">
      <c r="A223" s="25"/>
      <c r="B223" s="25"/>
      <c r="C223" s="26"/>
      <c r="D223" s="26"/>
      <c r="E223" s="25"/>
      <c r="F223" s="25"/>
      <c r="G223" s="25"/>
      <c r="H223" s="25"/>
    </row>
    <row r="224" ht="14.25" customHeight="1">
      <c r="A224" s="25"/>
      <c r="B224" s="25"/>
      <c r="C224" s="26"/>
      <c r="D224" s="26"/>
      <c r="E224" s="25"/>
      <c r="F224" s="25"/>
      <c r="G224" s="25"/>
      <c r="H224" s="25"/>
    </row>
    <row r="225" ht="14.25" customHeight="1">
      <c r="A225" s="25"/>
      <c r="B225" s="25"/>
      <c r="C225" s="26"/>
      <c r="D225" s="26"/>
      <c r="E225" s="25"/>
      <c r="F225" s="25"/>
      <c r="G225" s="25"/>
      <c r="H225" s="25"/>
    </row>
    <row r="226" ht="14.25" customHeight="1">
      <c r="A226" s="25"/>
      <c r="B226" s="25"/>
      <c r="C226" s="26"/>
      <c r="D226" s="26"/>
      <c r="E226" s="25"/>
      <c r="F226" s="25"/>
      <c r="G226" s="25"/>
      <c r="H226" s="25"/>
    </row>
    <row r="227" ht="14.25" customHeight="1">
      <c r="A227" s="25"/>
      <c r="B227" s="25"/>
      <c r="C227" s="26"/>
      <c r="D227" s="26"/>
      <c r="E227" s="25"/>
      <c r="F227" s="25"/>
      <c r="G227" s="25"/>
      <c r="H227" s="25"/>
    </row>
    <row r="228" ht="14.25" customHeight="1">
      <c r="A228" s="25"/>
      <c r="B228" s="25"/>
      <c r="C228" s="26"/>
      <c r="D228" s="26"/>
      <c r="E228" s="25"/>
      <c r="F228" s="25"/>
      <c r="G228" s="25"/>
      <c r="H228" s="25"/>
    </row>
    <row r="229" ht="14.25" customHeight="1">
      <c r="A229" s="25"/>
      <c r="B229" s="25"/>
      <c r="C229" s="26"/>
      <c r="D229" s="26"/>
      <c r="E229" s="25"/>
      <c r="F229" s="25"/>
      <c r="G229" s="25"/>
      <c r="H229" s="25"/>
    </row>
    <row r="230" ht="14.25" customHeight="1">
      <c r="A230" s="25"/>
      <c r="B230" s="25"/>
      <c r="C230" s="26"/>
      <c r="D230" s="26"/>
      <c r="E230" s="25"/>
      <c r="F230" s="25"/>
      <c r="G230" s="25"/>
      <c r="H230" s="25"/>
    </row>
    <row r="231" ht="14.25" customHeight="1">
      <c r="A231" s="25"/>
      <c r="B231" s="25"/>
      <c r="C231" s="26"/>
      <c r="D231" s="26"/>
      <c r="E231" s="25"/>
      <c r="F231" s="25"/>
      <c r="G231" s="25"/>
      <c r="H231" s="25"/>
    </row>
    <row r="232" ht="14.25" customHeight="1">
      <c r="A232" s="25"/>
      <c r="B232" s="25"/>
      <c r="C232" s="26"/>
      <c r="D232" s="26"/>
      <c r="E232" s="25"/>
      <c r="F232" s="25"/>
      <c r="G232" s="25"/>
      <c r="H232" s="25"/>
    </row>
    <row r="233" ht="14.25" customHeight="1">
      <c r="A233" s="25"/>
      <c r="B233" s="25"/>
      <c r="C233" s="26"/>
      <c r="D233" s="26"/>
      <c r="E233" s="25"/>
      <c r="F233" s="25"/>
      <c r="G233" s="25"/>
      <c r="H233" s="25"/>
    </row>
    <row r="234" ht="14.25" customHeight="1">
      <c r="A234" s="25"/>
      <c r="B234" s="25"/>
      <c r="C234" s="26"/>
      <c r="D234" s="26"/>
      <c r="E234" s="25"/>
      <c r="F234" s="25"/>
      <c r="G234" s="25"/>
      <c r="H234" s="25"/>
    </row>
    <row r="235" ht="14.25" customHeight="1">
      <c r="A235" s="25"/>
      <c r="B235" s="25"/>
      <c r="C235" s="26"/>
      <c r="D235" s="26"/>
      <c r="E235" s="25"/>
      <c r="F235" s="25"/>
      <c r="G235" s="25"/>
      <c r="H235" s="25"/>
    </row>
    <row r="236" ht="14.25" customHeight="1">
      <c r="A236" s="25"/>
      <c r="B236" s="25"/>
      <c r="C236" s="26"/>
      <c r="D236" s="26"/>
      <c r="E236" s="25"/>
      <c r="F236" s="25"/>
      <c r="G236" s="25"/>
      <c r="H236" s="25"/>
    </row>
    <row r="237" ht="14.25" customHeight="1">
      <c r="A237" s="25"/>
      <c r="B237" s="25"/>
      <c r="C237" s="26"/>
      <c r="D237" s="26"/>
      <c r="E237" s="25"/>
      <c r="F237" s="25"/>
      <c r="G237" s="25"/>
      <c r="H237" s="25"/>
    </row>
    <row r="238" ht="14.25" customHeight="1">
      <c r="A238" s="25"/>
      <c r="B238" s="25"/>
      <c r="C238" s="26"/>
      <c r="D238" s="26"/>
      <c r="E238" s="25"/>
      <c r="F238" s="25"/>
      <c r="G238" s="25"/>
      <c r="H238" s="25"/>
    </row>
    <row r="239" ht="14.25" customHeight="1">
      <c r="A239" s="25"/>
      <c r="B239" s="25"/>
      <c r="C239" s="26"/>
      <c r="D239" s="26"/>
      <c r="E239" s="25"/>
      <c r="F239" s="25"/>
      <c r="G239" s="25"/>
      <c r="H239" s="25"/>
    </row>
    <row r="240" ht="14.25" customHeight="1">
      <c r="A240" s="25"/>
      <c r="B240" s="25"/>
      <c r="C240" s="26"/>
      <c r="D240" s="26"/>
      <c r="E240" s="25"/>
      <c r="F240" s="25"/>
      <c r="G240" s="25"/>
      <c r="H240" s="25"/>
    </row>
    <row r="241" ht="14.25" customHeight="1">
      <c r="A241" s="25"/>
      <c r="B241" s="25"/>
      <c r="C241" s="26"/>
      <c r="D241" s="26"/>
      <c r="E241" s="25"/>
      <c r="F241" s="25"/>
      <c r="G241" s="25"/>
      <c r="H241" s="25"/>
    </row>
    <row r="242" ht="14.25" customHeight="1">
      <c r="A242" s="25"/>
      <c r="B242" s="25"/>
      <c r="C242" s="26"/>
      <c r="D242" s="26"/>
      <c r="E242" s="25"/>
      <c r="F242" s="25"/>
      <c r="G242" s="25"/>
      <c r="H242" s="25"/>
    </row>
    <row r="243" ht="14.25" customHeight="1">
      <c r="A243" s="25"/>
      <c r="B243" s="25"/>
      <c r="C243" s="26"/>
      <c r="D243" s="26"/>
      <c r="E243" s="25"/>
      <c r="F243" s="25"/>
      <c r="G243" s="25"/>
      <c r="H243" s="25"/>
    </row>
    <row r="244" ht="14.25" customHeight="1">
      <c r="A244" s="25"/>
      <c r="B244" s="25"/>
      <c r="C244" s="26"/>
      <c r="D244" s="26"/>
      <c r="E244" s="25"/>
      <c r="F244" s="25"/>
      <c r="G244" s="25"/>
      <c r="H244" s="25"/>
    </row>
    <row r="245" ht="14.25" customHeight="1">
      <c r="A245" s="25"/>
      <c r="B245" s="25"/>
      <c r="C245" s="26"/>
      <c r="D245" s="26"/>
      <c r="E245" s="25"/>
      <c r="F245" s="25"/>
      <c r="G245" s="25"/>
      <c r="H245" s="25"/>
    </row>
    <row r="246" ht="14.25" customHeight="1">
      <c r="A246" s="25"/>
      <c r="B246" s="25"/>
      <c r="C246" s="26"/>
      <c r="D246" s="26"/>
      <c r="E246" s="25"/>
      <c r="F246" s="25"/>
      <c r="G246" s="25"/>
      <c r="H246" s="25"/>
    </row>
    <row r="247" ht="14.25" customHeight="1">
      <c r="A247" s="25"/>
      <c r="B247" s="25"/>
      <c r="C247" s="26"/>
      <c r="D247" s="26"/>
      <c r="E247" s="25"/>
      <c r="F247" s="25"/>
      <c r="G247" s="25"/>
      <c r="H247" s="25"/>
    </row>
    <row r="248" ht="14.25" customHeight="1">
      <c r="A248" s="25"/>
      <c r="B248" s="25"/>
      <c r="C248" s="26"/>
      <c r="D248" s="26"/>
      <c r="E248" s="25"/>
      <c r="F248" s="25"/>
      <c r="G248" s="25"/>
      <c r="H248" s="25"/>
    </row>
    <row r="249" ht="14.25" customHeight="1">
      <c r="A249" s="25"/>
      <c r="B249" s="25"/>
      <c r="C249" s="26"/>
      <c r="D249" s="26"/>
      <c r="E249" s="25"/>
      <c r="F249" s="25"/>
      <c r="G249" s="25"/>
      <c r="H249" s="25"/>
    </row>
    <row r="250" ht="14.25" customHeight="1">
      <c r="A250" s="25"/>
      <c r="B250" s="25"/>
      <c r="C250" s="26"/>
      <c r="D250" s="26"/>
      <c r="E250" s="25"/>
      <c r="F250" s="25"/>
      <c r="G250" s="25"/>
      <c r="H250" s="25"/>
    </row>
    <row r="251" ht="14.25" customHeight="1">
      <c r="A251" s="25"/>
      <c r="B251" s="25"/>
      <c r="C251" s="26"/>
      <c r="D251" s="26"/>
      <c r="E251" s="25"/>
      <c r="F251" s="25"/>
      <c r="G251" s="25"/>
      <c r="H251" s="25"/>
    </row>
    <row r="252" ht="14.25" customHeight="1">
      <c r="A252" s="25"/>
      <c r="B252" s="25"/>
      <c r="C252" s="26"/>
      <c r="D252" s="26"/>
      <c r="E252" s="25"/>
      <c r="F252" s="25"/>
      <c r="G252" s="25"/>
      <c r="H252" s="25"/>
    </row>
    <row r="253" ht="14.25" customHeight="1">
      <c r="A253" s="25"/>
      <c r="B253" s="25"/>
      <c r="C253" s="26"/>
      <c r="D253" s="26"/>
      <c r="E253" s="25"/>
      <c r="F253" s="25"/>
      <c r="G253" s="25"/>
      <c r="H253" s="25"/>
    </row>
    <row r="254" ht="14.25" customHeight="1">
      <c r="A254" s="25"/>
      <c r="B254" s="25"/>
      <c r="C254" s="26"/>
      <c r="D254" s="26"/>
      <c r="E254" s="25"/>
      <c r="F254" s="25"/>
      <c r="G254" s="25"/>
      <c r="H254" s="25"/>
    </row>
    <row r="255" ht="14.25" customHeight="1">
      <c r="A255" s="25"/>
      <c r="B255" s="25"/>
      <c r="C255" s="26"/>
      <c r="D255" s="26"/>
      <c r="E255" s="25"/>
      <c r="F255" s="25"/>
      <c r="G255" s="25"/>
      <c r="H255" s="25"/>
    </row>
    <row r="256" ht="14.25" customHeight="1">
      <c r="A256" s="25"/>
      <c r="B256" s="25"/>
      <c r="C256" s="26"/>
      <c r="D256" s="26"/>
      <c r="E256" s="25"/>
      <c r="F256" s="25"/>
      <c r="G256" s="25"/>
      <c r="H256" s="25"/>
    </row>
    <row r="257" ht="14.25" customHeight="1">
      <c r="A257" s="25"/>
      <c r="B257" s="25"/>
      <c r="C257" s="26"/>
      <c r="D257" s="26"/>
      <c r="E257" s="25"/>
      <c r="F257" s="25"/>
      <c r="G257" s="25"/>
      <c r="H257" s="25"/>
    </row>
    <row r="258" ht="14.25" customHeight="1">
      <c r="A258" s="25"/>
      <c r="B258" s="25"/>
      <c r="C258" s="26"/>
      <c r="D258" s="26"/>
      <c r="E258" s="25"/>
      <c r="F258" s="25"/>
      <c r="G258" s="25"/>
      <c r="H258" s="25"/>
    </row>
    <row r="259" ht="14.25" customHeight="1">
      <c r="A259" s="25"/>
      <c r="B259" s="25"/>
      <c r="C259" s="26"/>
      <c r="D259" s="26"/>
      <c r="E259" s="25"/>
      <c r="F259" s="25"/>
      <c r="G259" s="25"/>
      <c r="H259" s="25"/>
    </row>
    <row r="260" ht="14.25" customHeight="1">
      <c r="A260" s="25"/>
      <c r="B260" s="25"/>
      <c r="C260" s="26"/>
      <c r="D260" s="26"/>
      <c r="E260" s="25"/>
      <c r="F260" s="25"/>
      <c r="G260" s="25"/>
      <c r="H260" s="25"/>
    </row>
    <row r="261" ht="14.25" customHeight="1">
      <c r="A261" s="25"/>
      <c r="B261" s="25"/>
      <c r="C261" s="26"/>
      <c r="D261" s="26"/>
      <c r="E261" s="25"/>
      <c r="F261" s="25"/>
      <c r="G261" s="25"/>
      <c r="H261" s="25"/>
    </row>
    <row r="262" ht="14.25" customHeight="1">
      <c r="A262" s="25"/>
      <c r="B262" s="25"/>
      <c r="C262" s="26"/>
      <c r="D262" s="26"/>
      <c r="E262" s="25"/>
      <c r="F262" s="25"/>
      <c r="G262" s="25"/>
      <c r="H262" s="25"/>
    </row>
    <row r="263" ht="14.25" customHeight="1">
      <c r="A263" s="25"/>
      <c r="B263" s="25"/>
      <c r="C263" s="26"/>
      <c r="D263" s="26"/>
      <c r="E263" s="25"/>
      <c r="F263" s="25"/>
      <c r="G263" s="25"/>
      <c r="H263" s="25"/>
    </row>
    <row r="264" ht="14.25" customHeight="1">
      <c r="A264" s="25"/>
      <c r="B264" s="25"/>
      <c r="C264" s="26"/>
      <c r="D264" s="26"/>
      <c r="E264" s="25"/>
      <c r="F264" s="25"/>
      <c r="G264" s="25"/>
      <c r="H264" s="25"/>
    </row>
    <row r="265" ht="14.25" customHeight="1">
      <c r="A265" s="25"/>
      <c r="B265" s="25"/>
      <c r="C265" s="26"/>
      <c r="D265" s="26"/>
      <c r="E265" s="25"/>
      <c r="F265" s="25"/>
      <c r="G265" s="25"/>
      <c r="H265" s="25"/>
    </row>
    <row r="266" ht="14.25" customHeight="1">
      <c r="A266" s="25"/>
      <c r="B266" s="25"/>
      <c r="C266" s="26"/>
      <c r="D266" s="26"/>
      <c r="E266" s="25"/>
      <c r="F266" s="25"/>
      <c r="G266" s="25"/>
      <c r="H266" s="25"/>
    </row>
    <row r="267" ht="14.25" customHeight="1">
      <c r="A267" s="25"/>
      <c r="B267" s="25"/>
      <c r="C267" s="26"/>
      <c r="D267" s="26"/>
      <c r="E267" s="25"/>
      <c r="F267" s="25"/>
      <c r="G267" s="25"/>
      <c r="H267" s="25"/>
    </row>
    <row r="268" ht="14.25" customHeight="1">
      <c r="A268" s="25"/>
      <c r="B268" s="25"/>
      <c r="C268" s="26"/>
      <c r="D268" s="26"/>
      <c r="E268" s="25"/>
      <c r="F268" s="25"/>
      <c r="G268" s="25"/>
      <c r="H268" s="25"/>
    </row>
    <row r="269" ht="14.25" customHeight="1">
      <c r="A269" s="25"/>
      <c r="B269" s="25"/>
      <c r="C269" s="26"/>
      <c r="D269" s="26"/>
      <c r="E269" s="25"/>
      <c r="F269" s="25"/>
      <c r="G269" s="25"/>
      <c r="H269" s="25"/>
    </row>
    <row r="270" ht="14.25" customHeight="1">
      <c r="A270" s="25"/>
      <c r="B270" s="25"/>
      <c r="C270" s="26"/>
      <c r="D270" s="26"/>
      <c r="E270" s="25"/>
      <c r="F270" s="25"/>
      <c r="G270" s="25"/>
      <c r="H270" s="25"/>
    </row>
    <row r="271" ht="14.25" customHeight="1">
      <c r="A271" s="25"/>
      <c r="B271" s="25"/>
      <c r="C271" s="26"/>
      <c r="D271" s="26"/>
      <c r="E271" s="25"/>
      <c r="F271" s="25"/>
      <c r="G271" s="25"/>
      <c r="H271" s="25"/>
    </row>
    <row r="272" ht="14.25" customHeight="1">
      <c r="A272" s="25"/>
      <c r="B272" s="25"/>
      <c r="C272" s="26"/>
      <c r="D272" s="26"/>
      <c r="E272" s="25"/>
      <c r="F272" s="25"/>
      <c r="G272" s="25"/>
      <c r="H272" s="25"/>
    </row>
    <row r="273" ht="14.25" customHeight="1">
      <c r="A273" s="25"/>
      <c r="B273" s="25"/>
      <c r="C273" s="26"/>
      <c r="D273" s="26"/>
      <c r="E273" s="25"/>
      <c r="F273" s="25"/>
      <c r="G273" s="25"/>
      <c r="H273" s="25"/>
    </row>
    <row r="274" ht="14.25" customHeight="1">
      <c r="A274" s="25"/>
      <c r="B274" s="25"/>
      <c r="C274" s="26"/>
      <c r="D274" s="26"/>
      <c r="E274" s="25"/>
      <c r="F274" s="25"/>
      <c r="G274" s="25"/>
      <c r="H274" s="25"/>
    </row>
    <row r="275" ht="14.25" customHeight="1">
      <c r="A275" s="25"/>
      <c r="B275" s="25"/>
      <c r="C275" s="26"/>
      <c r="D275" s="26"/>
      <c r="E275" s="25"/>
      <c r="F275" s="25"/>
      <c r="G275" s="25"/>
      <c r="H275" s="25"/>
    </row>
    <row r="276" ht="14.25" customHeight="1">
      <c r="A276" s="25"/>
      <c r="B276" s="25"/>
      <c r="C276" s="26"/>
      <c r="D276" s="26"/>
      <c r="E276" s="25"/>
      <c r="F276" s="25"/>
      <c r="G276" s="25"/>
      <c r="H276" s="25"/>
    </row>
    <row r="277" ht="14.25" customHeight="1">
      <c r="A277" s="25"/>
      <c r="B277" s="25"/>
      <c r="C277" s="26"/>
      <c r="D277" s="26"/>
      <c r="E277" s="25"/>
      <c r="F277" s="25"/>
      <c r="G277" s="25"/>
      <c r="H277" s="25"/>
    </row>
    <row r="278" ht="14.25" customHeight="1">
      <c r="A278" s="25"/>
      <c r="B278" s="25"/>
      <c r="C278" s="26"/>
      <c r="D278" s="26"/>
      <c r="E278" s="25"/>
      <c r="F278" s="25"/>
      <c r="G278" s="25"/>
      <c r="H278" s="25"/>
    </row>
    <row r="279" ht="14.25" customHeight="1">
      <c r="A279" s="25"/>
      <c r="B279" s="25"/>
      <c r="C279" s="26"/>
      <c r="D279" s="26"/>
      <c r="E279" s="25"/>
      <c r="F279" s="25"/>
      <c r="G279" s="25"/>
      <c r="H279" s="25"/>
    </row>
    <row r="280" ht="14.25" customHeight="1">
      <c r="A280" s="25"/>
      <c r="B280" s="25"/>
      <c r="C280" s="26"/>
      <c r="D280" s="26"/>
      <c r="E280" s="25"/>
      <c r="F280" s="25"/>
      <c r="G280" s="25"/>
      <c r="H280" s="25"/>
    </row>
    <row r="281" ht="14.25" customHeight="1">
      <c r="A281" s="25"/>
      <c r="B281" s="25"/>
      <c r="C281" s="26"/>
      <c r="D281" s="26"/>
      <c r="E281" s="25"/>
      <c r="F281" s="25"/>
      <c r="G281" s="25"/>
      <c r="H281" s="25"/>
    </row>
    <row r="282" ht="14.25" customHeight="1">
      <c r="A282" s="25"/>
      <c r="B282" s="25"/>
      <c r="C282" s="26"/>
      <c r="D282" s="26"/>
      <c r="E282" s="25"/>
      <c r="F282" s="25"/>
      <c r="G282" s="25"/>
      <c r="H282" s="25"/>
    </row>
    <row r="283" ht="14.25" customHeight="1">
      <c r="A283" s="25"/>
      <c r="B283" s="25"/>
      <c r="C283" s="26"/>
      <c r="D283" s="26"/>
      <c r="E283" s="25"/>
      <c r="F283" s="25"/>
      <c r="G283" s="25"/>
      <c r="H283" s="25"/>
    </row>
    <row r="284" ht="14.25" customHeight="1">
      <c r="A284" s="25"/>
      <c r="B284" s="25"/>
      <c r="C284" s="26"/>
      <c r="D284" s="26"/>
      <c r="E284" s="25"/>
      <c r="F284" s="25"/>
      <c r="G284" s="25"/>
      <c r="H284" s="25"/>
    </row>
    <row r="285" ht="14.25" customHeight="1">
      <c r="A285" s="25"/>
      <c r="B285" s="25"/>
      <c r="C285" s="26"/>
      <c r="D285" s="26"/>
      <c r="E285" s="25"/>
      <c r="F285" s="25"/>
      <c r="G285" s="25"/>
      <c r="H285" s="25"/>
    </row>
    <row r="286" ht="14.25" customHeight="1">
      <c r="A286" s="25"/>
      <c r="B286" s="25"/>
      <c r="C286" s="26"/>
      <c r="D286" s="26"/>
      <c r="E286" s="25"/>
      <c r="F286" s="25"/>
      <c r="G286" s="25"/>
      <c r="H286" s="25"/>
    </row>
    <row r="287" ht="14.25" customHeight="1">
      <c r="A287" s="25"/>
      <c r="B287" s="25"/>
      <c r="C287" s="26"/>
      <c r="D287" s="26"/>
      <c r="E287" s="25"/>
      <c r="F287" s="25"/>
      <c r="G287" s="25"/>
      <c r="H287" s="25"/>
    </row>
    <row r="288" ht="14.25" customHeight="1">
      <c r="A288" s="25"/>
      <c r="B288" s="25"/>
      <c r="C288" s="26"/>
      <c r="D288" s="26"/>
      <c r="E288" s="25"/>
      <c r="F288" s="25"/>
      <c r="G288" s="25"/>
      <c r="H288" s="25"/>
    </row>
    <row r="289" ht="14.25" customHeight="1">
      <c r="A289" s="25"/>
      <c r="B289" s="25"/>
      <c r="C289" s="26"/>
      <c r="D289" s="26"/>
      <c r="E289" s="25"/>
      <c r="F289" s="25"/>
      <c r="G289" s="25"/>
      <c r="H289" s="25"/>
    </row>
    <row r="290" ht="14.25" customHeight="1">
      <c r="A290" s="25"/>
      <c r="B290" s="25"/>
      <c r="C290" s="26"/>
      <c r="D290" s="26"/>
      <c r="E290" s="25"/>
      <c r="F290" s="25"/>
      <c r="G290" s="25"/>
      <c r="H290" s="25"/>
    </row>
    <row r="291" ht="14.25" customHeight="1">
      <c r="A291" s="25"/>
      <c r="B291" s="25"/>
      <c r="C291" s="26"/>
      <c r="D291" s="26"/>
      <c r="E291" s="25"/>
      <c r="F291" s="25"/>
      <c r="G291" s="25"/>
      <c r="H291" s="25"/>
    </row>
    <row r="292" ht="14.25" customHeight="1">
      <c r="A292" s="25"/>
      <c r="B292" s="25"/>
      <c r="C292" s="26"/>
      <c r="D292" s="26"/>
      <c r="E292" s="25"/>
      <c r="F292" s="25"/>
      <c r="G292" s="25"/>
      <c r="H292" s="25"/>
    </row>
    <row r="293" ht="14.25" customHeight="1">
      <c r="A293" s="25"/>
      <c r="B293" s="25"/>
      <c r="C293" s="26"/>
      <c r="D293" s="26"/>
      <c r="E293" s="25"/>
      <c r="F293" s="25"/>
      <c r="G293" s="25"/>
      <c r="H293" s="25"/>
    </row>
    <row r="294" ht="14.25" customHeight="1">
      <c r="A294" s="25"/>
      <c r="B294" s="25"/>
      <c r="C294" s="26"/>
      <c r="D294" s="26"/>
      <c r="E294" s="25"/>
      <c r="F294" s="25"/>
      <c r="G294" s="25"/>
      <c r="H294" s="25"/>
    </row>
    <row r="295" ht="14.25" customHeight="1">
      <c r="A295" s="25"/>
      <c r="B295" s="25"/>
      <c r="C295" s="26"/>
      <c r="D295" s="26"/>
      <c r="E295" s="25"/>
      <c r="F295" s="25"/>
      <c r="G295" s="25"/>
      <c r="H295" s="25"/>
    </row>
    <row r="296" ht="14.25" customHeight="1">
      <c r="A296" s="25"/>
      <c r="B296" s="25"/>
      <c r="C296" s="26"/>
      <c r="D296" s="26"/>
      <c r="E296" s="25"/>
      <c r="F296" s="25"/>
      <c r="G296" s="25"/>
      <c r="H296" s="25"/>
    </row>
    <row r="297" ht="14.25" customHeight="1">
      <c r="A297" s="25"/>
      <c r="B297" s="25"/>
      <c r="C297" s="26"/>
      <c r="D297" s="26"/>
      <c r="E297" s="25"/>
      <c r="F297" s="25"/>
      <c r="G297" s="25"/>
      <c r="H297" s="25"/>
    </row>
    <row r="298" ht="14.25" customHeight="1">
      <c r="A298" s="25"/>
      <c r="B298" s="25"/>
      <c r="C298" s="26"/>
      <c r="D298" s="26"/>
      <c r="E298" s="25"/>
      <c r="F298" s="25"/>
      <c r="G298" s="25"/>
      <c r="H298" s="25"/>
    </row>
    <row r="299" ht="14.25" customHeight="1">
      <c r="A299" s="25"/>
      <c r="B299" s="25"/>
      <c r="C299" s="26"/>
      <c r="D299" s="26"/>
      <c r="E299" s="25"/>
      <c r="F299" s="25"/>
      <c r="G299" s="25"/>
      <c r="H299" s="25"/>
    </row>
    <row r="300" ht="14.25" customHeight="1">
      <c r="A300" s="25"/>
      <c r="B300" s="25"/>
      <c r="C300" s="26"/>
      <c r="D300" s="26"/>
      <c r="E300" s="25"/>
      <c r="F300" s="25"/>
      <c r="G300" s="25"/>
      <c r="H300" s="25"/>
    </row>
    <row r="301" ht="14.25" customHeight="1">
      <c r="A301" s="25"/>
      <c r="B301" s="25"/>
      <c r="C301" s="26"/>
      <c r="D301" s="26"/>
      <c r="E301" s="25"/>
      <c r="F301" s="25"/>
      <c r="G301" s="25"/>
      <c r="H301" s="25"/>
    </row>
    <row r="302" ht="14.25" customHeight="1">
      <c r="A302" s="25"/>
      <c r="B302" s="25"/>
      <c r="C302" s="26"/>
      <c r="D302" s="26"/>
      <c r="E302" s="25"/>
      <c r="F302" s="25"/>
      <c r="G302" s="25"/>
      <c r="H302" s="25"/>
    </row>
    <row r="303" ht="14.25" customHeight="1">
      <c r="A303" s="25"/>
      <c r="B303" s="25"/>
      <c r="C303" s="26"/>
      <c r="D303" s="26"/>
      <c r="E303" s="25"/>
      <c r="F303" s="25"/>
      <c r="G303" s="25"/>
      <c r="H303" s="25"/>
    </row>
    <row r="304" ht="14.25" customHeight="1">
      <c r="A304" s="25"/>
      <c r="B304" s="25"/>
      <c r="C304" s="26"/>
      <c r="D304" s="26"/>
      <c r="E304" s="25"/>
      <c r="F304" s="25"/>
      <c r="G304" s="25"/>
      <c r="H304" s="25"/>
    </row>
    <row r="305" ht="14.25" customHeight="1">
      <c r="A305" s="25"/>
      <c r="B305" s="25"/>
      <c r="C305" s="26"/>
      <c r="D305" s="26"/>
      <c r="E305" s="25"/>
      <c r="F305" s="25"/>
      <c r="G305" s="25"/>
      <c r="H305" s="25"/>
    </row>
    <row r="306" ht="14.25" customHeight="1">
      <c r="A306" s="25"/>
      <c r="B306" s="25"/>
      <c r="C306" s="26"/>
      <c r="D306" s="26"/>
      <c r="E306" s="25"/>
      <c r="F306" s="25"/>
      <c r="G306" s="25"/>
      <c r="H306" s="25"/>
    </row>
    <row r="307" ht="14.25" customHeight="1">
      <c r="A307" s="25"/>
      <c r="B307" s="25"/>
      <c r="C307" s="26"/>
      <c r="D307" s="26"/>
      <c r="E307" s="25"/>
      <c r="F307" s="25"/>
      <c r="G307" s="25"/>
      <c r="H307" s="25"/>
    </row>
    <row r="308" ht="14.25" customHeight="1">
      <c r="A308" s="25"/>
      <c r="B308" s="25"/>
      <c r="C308" s="26"/>
      <c r="D308" s="26"/>
      <c r="E308" s="25"/>
      <c r="F308" s="25"/>
      <c r="G308" s="25"/>
      <c r="H308" s="25"/>
    </row>
    <row r="309" ht="14.25" customHeight="1">
      <c r="A309" s="25"/>
      <c r="B309" s="25"/>
      <c r="C309" s="26"/>
      <c r="D309" s="26"/>
      <c r="E309" s="25"/>
      <c r="F309" s="25"/>
      <c r="G309" s="25"/>
      <c r="H309" s="25"/>
    </row>
    <row r="310" ht="14.25" customHeight="1">
      <c r="A310" s="25"/>
      <c r="B310" s="25"/>
      <c r="C310" s="26"/>
      <c r="D310" s="26"/>
      <c r="E310" s="25"/>
      <c r="F310" s="25"/>
      <c r="G310" s="25"/>
      <c r="H310" s="25"/>
    </row>
    <row r="311" ht="14.25" customHeight="1">
      <c r="A311" s="25"/>
      <c r="B311" s="25"/>
      <c r="C311" s="26"/>
      <c r="D311" s="26"/>
      <c r="E311" s="25"/>
      <c r="F311" s="25"/>
      <c r="G311" s="25"/>
      <c r="H311" s="25"/>
    </row>
    <row r="312" ht="14.25" customHeight="1">
      <c r="A312" s="25"/>
      <c r="B312" s="25"/>
      <c r="C312" s="26"/>
      <c r="D312" s="26"/>
      <c r="E312" s="25"/>
      <c r="F312" s="25"/>
      <c r="G312" s="25"/>
      <c r="H312" s="25"/>
    </row>
    <row r="313" ht="14.25" customHeight="1">
      <c r="A313" s="25"/>
      <c r="B313" s="25"/>
      <c r="C313" s="26"/>
      <c r="D313" s="26"/>
      <c r="E313" s="25"/>
      <c r="F313" s="25"/>
      <c r="G313" s="25"/>
      <c r="H313" s="25"/>
    </row>
    <row r="314" ht="14.25" customHeight="1">
      <c r="A314" s="25"/>
      <c r="B314" s="25"/>
      <c r="C314" s="26"/>
      <c r="D314" s="26"/>
      <c r="E314" s="25"/>
      <c r="F314" s="25"/>
      <c r="G314" s="25"/>
      <c r="H314" s="25"/>
    </row>
    <row r="315" ht="14.25" customHeight="1">
      <c r="A315" s="25"/>
      <c r="B315" s="25"/>
      <c r="C315" s="26"/>
      <c r="D315" s="26"/>
      <c r="E315" s="25"/>
      <c r="F315" s="25"/>
      <c r="G315" s="25"/>
      <c r="H315" s="25"/>
    </row>
    <row r="316" ht="14.25" customHeight="1">
      <c r="A316" s="25"/>
      <c r="B316" s="25"/>
      <c r="C316" s="26"/>
      <c r="D316" s="26"/>
      <c r="E316" s="25"/>
      <c r="F316" s="25"/>
      <c r="G316" s="25"/>
      <c r="H316" s="25"/>
    </row>
    <row r="317" ht="14.25" customHeight="1">
      <c r="A317" s="25"/>
      <c r="B317" s="25"/>
      <c r="C317" s="26"/>
      <c r="D317" s="26"/>
      <c r="E317" s="25"/>
      <c r="F317" s="25"/>
      <c r="G317" s="25"/>
      <c r="H317" s="25"/>
    </row>
    <row r="318" ht="14.25" customHeight="1">
      <c r="A318" s="25"/>
      <c r="B318" s="25"/>
      <c r="C318" s="26"/>
      <c r="D318" s="26"/>
      <c r="E318" s="25"/>
      <c r="F318" s="25"/>
      <c r="G318" s="25"/>
      <c r="H318" s="25"/>
    </row>
    <row r="319" ht="14.25" customHeight="1">
      <c r="A319" s="25"/>
      <c r="B319" s="25"/>
      <c r="C319" s="26"/>
      <c r="D319" s="26"/>
      <c r="E319" s="25"/>
      <c r="F319" s="25"/>
      <c r="G319" s="25"/>
      <c r="H319" s="25"/>
    </row>
    <row r="320" ht="14.25" customHeight="1">
      <c r="A320" s="25"/>
      <c r="B320" s="25"/>
      <c r="C320" s="26"/>
      <c r="D320" s="26"/>
      <c r="E320" s="25"/>
      <c r="F320" s="25"/>
      <c r="G320" s="25"/>
      <c r="H320" s="25"/>
    </row>
    <row r="321" ht="14.25" customHeight="1">
      <c r="A321" s="25"/>
      <c r="B321" s="25"/>
      <c r="C321" s="26"/>
      <c r="D321" s="26"/>
      <c r="E321" s="25"/>
      <c r="F321" s="25"/>
      <c r="G321" s="25"/>
      <c r="H321" s="25"/>
    </row>
    <row r="322" ht="14.25" customHeight="1">
      <c r="A322" s="25"/>
      <c r="B322" s="25"/>
      <c r="C322" s="26"/>
      <c r="D322" s="26"/>
      <c r="E322" s="25"/>
      <c r="F322" s="25"/>
      <c r="G322" s="25"/>
      <c r="H322" s="25"/>
    </row>
    <row r="323" ht="14.25" customHeight="1">
      <c r="A323" s="25"/>
      <c r="B323" s="25"/>
      <c r="C323" s="26"/>
      <c r="D323" s="26"/>
      <c r="E323" s="25"/>
      <c r="F323" s="25"/>
      <c r="G323" s="25"/>
      <c r="H323" s="25"/>
    </row>
    <row r="324" ht="14.25" customHeight="1">
      <c r="A324" s="25"/>
      <c r="B324" s="25"/>
      <c r="C324" s="26"/>
      <c r="D324" s="26"/>
      <c r="E324" s="25"/>
      <c r="F324" s="25"/>
      <c r="G324" s="25"/>
      <c r="H324" s="25"/>
    </row>
    <row r="325" ht="14.25" customHeight="1">
      <c r="A325" s="25"/>
      <c r="B325" s="25"/>
      <c r="C325" s="26"/>
      <c r="D325" s="26"/>
      <c r="E325" s="25"/>
      <c r="F325" s="25"/>
      <c r="G325" s="25"/>
      <c r="H325" s="25"/>
    </row>
    <row r="326" ht="14.25" customHeight="1">
      <c r="A326" s="25"/>
      <c r="B326" s="25"/>
      <c r="C326" s="26"/>
      <c r="D326" s="26"/>
      <c r="E326" s="25"/>
      <c r="F326" s="25"/>
      <c r="G326" s="25"/>
      <c r="H326" s="25"/>
    </row>
    <row r="327" ht="14.25" customHeight="1">
      <c r="A327" s="25"/>
      <c r="B327" s="25"/>
      <c r="C327" s="26"/>
      <c r="D327" s="26"/>
      <c r="E327" s="25"/>
      <c r="F327" s="25"/>
      <c r="G327" s="25"/>
      <c r="H327" s="25"/>
    </row>
    <row r="328" ht="14.25" customHeight="1">
      <c r="A328" s="25"/>
      <c r="B328" s="25"/>
      <c r="C328" s="26"/>
      <c r="D328" s="26"/>
      <c r="E328" s="25"/>
      <c r="F328" s="25"/>
      <c r="G328" s="25"/>
      <c r="H328" s="25"/>
    </row>
    <row r="329" ht="14.25" customHeight="1">
      <c r="A329" s="25"/>
      <c r="B329" s="25"/>
      <c r="C329" s="26"/>
      <c r="D329" s="26"/>
      <c r="E329" s="25"/>
      <c r="F329" s="25"/>
      <c r="G329" s="25"/>
      <c r="H329" s="25"/>
    </row>
    <row r="330" ht="14.25" customHeight="1">
      <c r="A330" s="25"/>
      <c r="B330" s="25"/>
      <c r="C330" s="26"/>
      <c r="D330" s="26"/>
      <c r="E330" s="25"/>
      <c r="F330" s="25"/>
      <c r="G330" s="25"/>
      <c r="H330" s="25"/>
    </row>
    <row r="331" ht="14.25" customHeight="1">
      <c r="A331" s="25"/>
      <c r="B331" s="25"/>
      <c r="C331" s="26"/>
      <c r="D331" s="26"/>
      <c r="E331" s="25"/>
      <c r="F331" s="25"/>
      <c r="G331" s="25"/>
      <c r="H331" s="25"/>
    </row>
    <row r="332" ht="14.25" customHeight="1">
      <c r="A332" s="25"/>
      <c r="B332" s="25"/>
      <c r="C332" s="26"/>
      <c r="D332" s="26"/>
      <c r="E332" s="25"/>
      <c r="F332" s="25"/>
      <c r="G332" s="25"/>
      <c r="H332" s="25"/>
    </row>
    <row r="333" ht="14.25" customHeight="1">
      <c r="A333" s="25"/>
      <c r="B333" s="25"/>
      <c r="C333" s="26"/>
      <c r="D333" s="26"/>
      <c r="E333" s="25"/>
      <c r="F333" s="25"/>
      <c r="G333" s="25"/>
      <c r="H333" s="25"/>
    </row>
    <row r="334" ht="14.25" customHeight="1">
      <c r="A334" s="25"/>
      <c r="B334" s="25"/>
      <c r="C334" s="26"/>
      <c r="D334" s="26"/>
      <c r="E334" s="25"/>
      <c r="F334" s="25"/>
      <c r="G334" s="25"/>
      <c r="H334" s="25"/>
    </row>
    <row r="335" ht="14.25" customHeight="1">
      <c r="A335" s="25"/>
      <c r="B335" s="25"/>
      <c r="C335" s="26"/>
      <c r="D335" s="26"/>
      <c r="E335" s="25"/>
      <c r="F335" s="25"/>
      <c r="G335" s="25"/>
      <c r="H335" s="25"/>
    </row>
    <row r="336" ht="14.25" customHeight="1">
      <c r="A336" s="25"/>
      <c r="B336" s="25"/>
      <c r="C336" s="26"/>
      <c r="D336" s="26"/>
      <c r="E336" s="25"/>
      <c r="F336" s="25"/>
      <c r="G336" s="25"/>
      <c r="H336" s="25"/>
    </row>
    <row r="337" ht="14.25" customHeight="1">
      <c r="A337" s="25"/>
      <c r="B337" s="25"/>
      <c r="C337" s="26"/>
      <c r="D337" s="26"/>
      <c r="E337" s="25"/>
      <c r="F337" s="25"/>
      <c r="G337" s="25"/>
      <c r="H337" s="25"/>
    </row>
    <row r="338" ht="14.25" customHeight="1">
      <c r="A338" s="25"/>
      <c r="B338" s="25"/>
      <c r="C338" s="26"/>
      <c r="D338" s="26"/>
      <c r="E338" s="25"/>
      <c r="F338" s="25"/>
      <c r="G338" s="25"/>
      <c r="H338" s="25"/>
    </row>
    <row r="339" ht="14.25" customHeight="1">
      <c r="A339" s="25"/>
      <c r="B339" s="25"/>
      <c r="C339" s="26"/>
      <c r="D339" s="26"/>
      <c r="E339" s="25"/>
      <c r="F339" s="25"/>
      <c r="G339" s="25"/>
      <c r="H339" s="25"/>
    </row>
    <row r="340" ht="14.25" customHeight="1">
      <c r="A340" s="25"/>
      <c r="B340" s="25"/>
      <c r="C340" s="26"/>
      <c r="D340" s="26"/>
      <c r="E340" s="25"/>
      <c r="F340" s="25"/>
      <c r="G340" s="25"/>
      <c r="H340" s="25"/>
    </row>
    <row r="341" ht="14.25" customHeight="1">
      <c r="A341" s="25"/>
      <c r="B341" s="25"/>
      <c r="C341" s="26"/>
      <c r="D341" s="26"/>
      <c r="E341" s="25"/>
      <c r="F341" s="25"/>
      <c r="G341" s="25"/>
      <c r="H341" s="25"/>
    </row>
    <row r="342" ht="14.25" customHeight="1">
      <c r="A342" s="25"/>
      <c r="B342" s="25"/>
      <c r="C342" s="26"/>
      <c r="D342" s="26"/>
      <c r="E342" s="25"/>
      <c r="F342" s="25"/>
      <c r="G342" s="25"/>
      <c r="H342" s="25"/>
    </row>
    <row r="343" ht="14.25" customHeight="1">
      <c r="A343" s="25"/>
      <c r="B343" s="25"/>
      <c r="C343" s="26"/>
      <c r="D343" s="26"/>
      <c r="E343" s="25"/>
      <c r="F343" s="25"/>
      <c r="G343" s="25"/>
      <c r="H343" s="25"/>
    </row>
    <row r="344" ht="14.25" customHeight="1">
      <c r="A344" s="25"/>
      <c r="B344" s="25"/>
      <c r="C344" s="26"/>
      <c r="D344" s="26"/>
      <c r="E344" s="25"/>
      <c r="F344" s="25"/>
      <c r="G344" s="25"/>
      <c r="H344" s="25"/>
    </row>
    <row r="345" ht="14.25" customHeight="1">
      <c r="A345" s="25"/>
      <c r="B345" s="25"/>
      <c r="C345" s="26"/>
      <c r="D345" s="26"/>
      <c r="E345" s="25"/>
      <c r="F345" s="25"/>
      <c r="G345" s="25"/>
      <c r="H345" s="25"/>
    </row>
    <row r="346" ht="14.25" customHeight="1">
      <c r="A346" s="25"/>
      <c r="B346" s="25"/>
      <c r="C346" s="26"/>
      <c r="D346" s="26"/>
      <c r="E346" s="25"/>
      <c r="F346" s="25"/>
      <c r="G346" s="25"/>
      <c r="H346" s="25"/>
    </row>
    <row r="347" ht="14.25" customHeight="1">
      <c r="A347" s="25"/>
      <c r="B347" s="25"/>
      <c r="C347" s="26"/>
      <c r="D347" s="26"/>
      <c r="E347" s="25"/>
      <c r="F347" s="25"/>
      <c r="G347" s="25"/>
      <c r="H347" s="25"/>
    </row>
    <row r="348" ht="14.25" customHeight="1">
      <c r="A348" s="25"/>
      <c r="B348" s="25"/>
      <c r="C348" s="26"/>
      <c r="D348" s="26"/>
      <c r="E348" s="25"/>
      <c r="F348" s="25"/>
      <c r="G348" s="25"/>
      <c r="H348" s="25"/>
    </row>
    <row r="349" ht="14.25" customHeight="1">
      <c r="A349" s="25"/>
      <c r="B349" s="25"/>
      <c r="C349" s="26"/>
      <c r="D349" s="26"/>
      <c r="E349" s="25"/>
      <c r="F349" s="25"/>
      <c r="G349" s="25"/>
      <c r="H349" s="25"/>
    </row>
    <row r="350" ht="14.25" customHeight="1">
      <c r="A350" s="25"/>
      <c r="B350" s="25"/>
      <c r="C350" s="26"/>
      <c r="D350" s="26"/>
      <c r="E350" s="25"/>
      <c r="F350" s="25"/>
      <c r="G350" s="25"/>
      <c r="H350" s="25"/>
    </row>
    <row r="351" ht="14.25" customHeight="1">
      <c r="A351" s="25"/>
      <c r="B351" s="25"/>
      <c r="C351" s="26"/>
      <c r="D351" s="26"/>
      <c r="E351" s="25"/>
      <c r="F351" s="25"/>
      <c r="G351" s="25"/>
      <c r="H351" s="25"/>
    </row>
    <row r="352" ht="14.25" customHeight="1">
      <c r="A352" s="25"/>
      <c r="B352" s="25"/>
      <c r="C352" s="26"/>
      <c r="D352" s="26"/>
      <c r="E352" s="25"/>
      <c r="F352" s="25"/>
      <c r="G352" s="25"/>
      <c r="H352" s="25"/>
    </row>
    <row r="353" ht="14.25" customHeight="1">
      <c r="A353" s="25"/>
      <c r="B353" s="25"/>
      <c r="C353" s="26"/>
      <c r="D353" s="26"/>
      <c r="E353" s="25"/>
      <c r="F353" s="25"/>
      <c r="G353" s="25"/>
      <c r="H353" s="25"/>
    </row>
    <row r="354" ht="14.25" customHeight="1">
      <c r="A354" s="25"/>
      <c r="B354" s="25"/>
      <c r="C354" s="26"/>
      <c r="D354" s="26"/>
      <c r="E354" s="25"/>
      <c r="F354" s="25"/>
      <c r="G354" s="25"/>
      <c r="H354" s="25"/>
    </row>
    <row r="355" ht="14.25" customHeight="1">
      <c r="A355" s="25"/>
      <c r="B355" s="25"/>
      <c r="C355" s="26"/>
      <c r="D355" s="26"/>
      <c r="E355" s="25"/>
      <c r="F355" s="25"/>
      <c r="G355" s="25"/>
      <c r="H355" s="25"/>
    </row>
    <row r="356" ht="14.25" customHeight="1">
      <c r="A356" s="25"/>
      <c r="B356" s="25"/>
      <c r="C356" s="26"/>
      <c r="D356" s="26"/>
      <c r="E356" s="25"/>
      <c r="F356" s="25"/>
      <c r="G356" s="25"/>
      <c r="H356" s="25"/>
    </row>
    <row r="357" ht="14.25" customHeight="1">
      <c r="A357" s="25"/>
      <c r="B357" s="25"/>
      <c r="C357" s="26"/>
      <c r="D357" s="26"/>
      <c r="E357" s="25"/>
      <c r="F357" s="25"/>
      <c r="G357" s="25"/>
      <c r="H357" s="25"/>
    </row>
    <row r="358" ht="14.25" customHeight="1">
      <c r="A358" s="25"/>
      <c r="B358" s="25"/>
      <c r="C358" s="26"/>
      <c r="D358" s="26"/>
      <c r="E358" s="25"/>
      <c r="F358" s="25"/>
      <c r="G358" s="25"/>
      <c r="H358" s="25"/>
    </row>
    <row r="359" ht="14.25" customHeight="1">
      <c r="A359" s="25"/>
      <c r="B359" s="25"/>
      <c r="C359" s="26"/>
      <c r="D359" s="26"/>
      <c r="E359" s="25"/>
      <c r="F359" s="25"/>
      <c r="G359" s="25"/>
      <c r="H359" s="25"/>
    </row>
    <row r="360" ht="14.25" customHeight="1">
      <c r="A360" s="25"/>
      <c r="B360" s="25"/>
      <c r="C360" s="26"/>
      <c r="D360" s="26"/>
      <c r="E360" s="25"/>
      <c r="F360" s="25"/>
      <c r="G360" s="25"/>
      <c r="H360" s="25"/>
    </row>
    <row r="361" ht="14.25" customHeight="1">
      <c r="A361" s="25"/>
      <c r="B361" s="25"/>
      <c r="C361" s="26"/>
      <c r="D361" s="26"/>
      <c r="E361" s="25"/>
      <c r="F361" s="25"/>
      <c r="G361" s="25"/>
      <c r="H361" s="25"/>
    </row>
    <row r="362" ht="14.25" customHeight="1">
      <c r="A362" s="25"/>
      <c r="B362" s="25"/>
      <c r="C362" s="26"/>
      <c r="D362" s="26"/>
      <c r="E362" s="25"/>
      <c r="F362" s="25"/>
      <c r="G362" s="25"/>
      <c r="H362" s="25"/>
    </row>
    <row r="363" ht="14.25" customHeight="1">
      <c r="A363" s="25"/>
      <c r="B363" s="25"/>
      <c r="C363" s="26"/>
      <c r="D363" s="26"/>
      <c r="E363" s="25"/>
      <c r="F363" s="25"/>
      <c r="G363" s="25"/>
      <c r="H363" s="25"/>
    </row>
    <row r="364" ht="14.25" customHeight="1">
      <c r="A364" s="25"/>
      <c r="B364" s="25"/>
      <c r="C364" s="26"/>
      <c r="D364" s="26"/>
      <c r="E364" s="25"/>
      <c r="F364" s="25"/>
      <c r="G364" s="25"/>
      <c r="H364" s="25"/>
    </row>
    <row r="365" ht="14.25" customHeight="1">
      <c r="A365" s="25"/>
      <c r="B365" s="25"/>
      <c r="C365" s="26"/>
      <c r="D365" s="26"/>
      <c r="E365" s="25"/>
      <c r="F365" s="25"/>
      <c r="G365" s="25"/>
      <c r="H365" s="25"/>
    </row>
    <row r="366" ht="14.25" customHeight="1">
      <c r="A366" s="25"/>
      <c r="B366" s="25"/>
      <c r="C366" s="26"/>
      <c r="D366" s="26"/>
      <c r="E366" s="25"/>
      <c r="F366" s="25"/>
      <c r="G366" s="25"/>
      <c r="H366" s="25"/>
    </row>
    <row r="367" ht="14.25" customHeight="1">
      <c r="A367" s="25"/>
      <c r="B367" s="25"/>
      <c r="C367" s="26"/>
      <c r="D367" s="26"/>
      <c r="E367" s="25"/>
      <c r="F367" s="25"/>
      <c r="G367" s="25"/>
      <c r="H367" s="25"/>
    </row>
    <row r="368" ht="14.25" customHeight="1">
      <c r="A368" s="25"/>
      <c r="B368" s="25"/>
      <c r="C368" s="26"/>
      <c r="D368" s="26"/>
      <c r="E368" s="25"/>
      <c r="F368" s="25"/>
      <c r="G368" s="25"/>
      <c r="H368" s="25"/>
    </row>
    <row r="369" ht="14.25" customHeight="1">
      <c r="A369" s="25"/>
      <c r="B369" s="25"/>
      <c r="C369" s="26"/>
      <c r="D369" s="26"/>
      <c r="E369" s="25"/>
      <c r="F369" s="25"/>
      <c r="G369" s="25"/>
      <c r="H369" s="25"/>
    </row>
    <row r="370" ht="14.25" customHeight="1">
      <c r="A370" s="25"/>
      <c r="B370" s="25"/>
      <c r="C370" s="26"/>
      <c r="D370" s="26"/>
      <c r="E370" s="25"/>
      <c r="F370" s="25"/>
      <c r="G370" s="25"/>
      <c r="H370" s="25"/>
    </row>
    <row r="371" ht="14.25" customHeight="1">
      <c r="A371" s="25"/>
      <c r="B371" s="25"/>
      <c r="C371" s="26"/>
      <c r="D371" s="26"/>
      <c r="E371" s="25"/>
      <c r="F371" s="25"/>
      <c r="G371" s="25"/>
      <c r="H371" s="25"/>
    </row>
    <row r="372" ht="14.25" customHeight="1">
      <c r="A372" s="25"/>
      <c r="B372" s="25"/>
      <c r="C372" s="26"/>
      <c r="D372" s="26"/>
      <c r="E372" s="25"/>
      <c r="F372" s="25"/>
      <c r="G372" s="25"/>
      <c r="H372" s="25"/>
    </row>
    <row r="373" ht="14.25" customHeight="1">
      <c r="A373" s="25"/>
      <c r="B373" s="25"/>
      <c r="C373" s="26"/>
      <c r="D373" s="26"/>
      <c r="E373" s="25"/>
      <c r="F373" s="25"/>
      <c r="G373" s="25"/>
      <c r="H373" s="25"/>
    </row>
    <row r="374" ht="14.25" customHeight="1">
      <c r="A374" s="25"/>
      <c r="B374" s="25"/>
      <c r="C374" s="26"/>
      <c r="D374" s="26"/>
      <c r="E374" s="25"/>
      <c r="F374" s="25"/>
      <c r="G374" s="25"/>
      <c r="H374" s="25"/>
    </row>
    <row r="375" ht="14.25" customHeight="1">
      <c r="A375" s="25"/>
      <c r="B375" s="25"/>
      <c r="C375" s="26"/>
      <c r="D375" s="26"/>
      <c r="E375" s="25"/>
      <c r="F375" s="25"/>
      <c r="G375" s="25"/>
      <c r="H375" s="25"/>
    </row>
    <row r="376" ht="14.25" customHeight="1">
      <c r="A376" s="25"/>
      <c r="B376" s="25"/>
      <c r="C376" s="26"/>
      <c r="D376" s="26"/>
      <c r="E376" s="25"/>
      <c r="F376" s="25"/>
      <c r="G376" s="25"/>
      <c r="H376" s="25"/>
    </row>
    <row r="377" ht="14.25" customHeight="1">
      <c r="A377" s="25"/>
      <c r="B377" s="25"/>
      <c r="C377" s="26"/>
      <c r="D377" s="26"/>
      <c r="E377" s="25"/>
      <c r="F377" s="25"/>
      <c r="G377" s="25"/>
      <c r="H377" s="25"/>
    </row>
    <row r="378" ht="14.25" customHeight="1">
      <c r="A378" s="25"/>
      <c r="B378" s="25"/>
      <c r="C378" s="26"/>
      <c r="D378" s="26"/>
      <c r="E378" s="25"/>
      <c r="F378" s="25"/>
      <c r="G378" s="25"/>
      <c r="H378" s="25"/>
    </row>
    <row r="379" ht="14.25" customHeight="1">
      <c r="A379" s="25"/>
      <c r="B379" s="25"/>
      <c r="C379" s="26"/>
      <c r="D379" s="26"/>
      <c r="E379" s="25"/>
      <c r="F379" s="25"/>
      <c r="G379" s="25"/>
      <c r="H379" s="25"/>
    </row>
    <row r="380" ht="14.25" customHeight="1">
      <c r="A380" s="25"/>
      <c r="B380" s="25"/>
      <c r="C380" s="26"/>
      <c r="D380" s="26"/>
      <c r="E380" s="25"/>
      <c r="F380" s="25"/>
      <c r="G380" s="25"/>
      <c r="H380" s="25"/>
    </row>
    <row r="381" ht="14.25" customHeight="1">
      <c r="A381" s="25"/>
      <c r="B381" s="25"/>
      <c r="C381" s="26"/>
      <c r="D381" s="26"/>
      <c r="E381" s="25"/>
      <c r="F381" s="25"/>
      <c r="G381" s="25"/>
      <c r="H381" s="25"/>
    </row>
    <row r="382" ht="14.25" customHeight="1">
      <c r="A382" s="25"/>
      <c r="B382" s="25"/>
      <c r="C382" s="26"/>
      <c r="D382" s="26"/>
      <c r="E382" s="25"/>
      <c r="F382" s="25"/>
      <c r="G382" s="25"/>
      <c r="H382" s="25"/>
    </row>
    <row r="383" ht="14.25" customHeight="1">
      <c r="A383" s="25"/>
      <c r="B383" s="25"/>
      <c r="C383" s="26"/>
      <c r="D383" s="26"/>
      <c r="E383" s="25"/>
      <c r="F383" s="25"/>
      <c r="G383" s="25"/>
      <c r="H383" s="25"/>
    </row>
    <row r="384" ht="14.25" customHeight="1">
      <c r="A384" s="25"/>
      <c r="B384" s="25"/>
      <c r="C384" s="26"/>
      <c r="D384" s="26"/>
      <c r="E384" s="25"/>
      <c r="F384" s="25"/>
      <c r="G384" s="25"/>
      <c r="H384" s="25"/>
    </row>
    <row r="385" ht="14.25" customHeight="1">
      <c r="A385" s="25"/>
      <c r="B385" s="25"/>
      <c r="C385" s="26"/>
      <c r="D385" s="26"/>
      <c r="E385" s="25"/>
      <c r="F385" s="25"/>
      <c r="G385" s="25"/>
      <c r="H385" s="25"/>
    </row>
    <row r="386" ht="14.25" customHeight="1">
      <c r="A386" s="25"/>
      <c r="B386" s="25"/>
      <c r="C386" s="26"/>
      <c r="D386" s="26"/>
      <c r="E386" s="25"/>
      <c r="F386" s="25"/>
      <c r="G386" s="25"/>
      <c r="H386" s="25"/>
    </row>
    <row r="387" ht="14.25" customHeight="1">
      <c r="A387" s="25"/>
      <c r="B387" s="25"/>
      <c r="C387" s="26"/>
      <c r="D387" s="26"/>
      <c r="E387" s="25"/>
      <c r="F387" s="25"/>
      <c r="G387" s="25"/>
      <c r="H387" s="25"/>
    </row>
    <row r="388" ht="14.25" customHeight="1">
      <c r="A388" s="25"/>
      <c r="B388" s="25"/>
      <c r="C388" s="26"/>
      <c r="D388" s="26"/>
      <c r="E388" s="25"/>
      <c r="F388" s="25"/>
      <c r="G388" s="25"/>
      <c r="H388" s="25"/>
    </row>
    <row r="389" ht="14.25" customHeight="1">
      <c r="A389" s="25"/>
      <c r="B389" s="25"/>
      <c r="C389" s="26"/>
      <c r="D389" s="26"/>
      <c r="E389" s="25"/>
      <c r="F389" s="25"/>
      <c r="G389" s="25"/>
      <c r="H389" s="25"/>
    </row>
    <row r="390" ht="14.25" customHeight="1">
      <c r="A390" s="25"/>
      <c r="B390" s="25"/>
      <c r="C390" s="26"/>
      <c r="D390" s="26"/>
      <c r="E390" s="25"/>
      <c r="F390" s="25"/>
      <c r="G390" s="25"/>
      <c r="H390" s="25"/>
    </row>
    <row r="391" ht="14.25" customHeight="1">
      <c r="A391" s="25"/>
      <c r="B391" s="25"/>
      <c r="C391" s="26"/>
      <c r="D391" s="26"/>
      <c r="E391" s="25"/>
      <c r="F391" s="25"/>
      <c r="G391" s="25"/>
      <c r="H391" s="25"/>
    </row>
    <row r="392" ht="14.25" customHeight="1">
      <c r="A392" s="25"/>
      <c r="B392" s="25"/>
      <c r="C392" s="26"/>
      <c r="D392" s="26"/>
      <c r="E392" s="25"/>
      <c r="F392" s="25"/>
      <c r="G392" s="25"/>
      <c r="H392" s="25"/>
    </row>
    <row r="393" ht="14.25" customHeight="1">
      <c r="A393" s="25"/>
      <c r="B393" s="25"/>
      <c r="C393" s="26"/>
      <c r="D393" s="26"/>
      <c r="E393" s="25"/>
      <c r="F393" s="25"/>
      <c r="G393" s="25"/>
      <c r="H393" s="25"/>
    </row>
    <row r="394" ht="14.25" customHeight="1">
      <c r="A394" s="25"/>
      <c r="B394" s="25"/>
      <c r="C394" s="26"/>
      <c r="D394" s="26"/>
      <c r="E394" s="25"/>
      <c r="F394" s="25"/>
      <c r="G394" s="25"/>
      <c r="H394" s="25"/>
    </row>
    <row r="395" ht="14.25" customHeight="1">
      <c r="A395" s="25"/>
      <c r="B395" s="25"/>
      <c r="C395" s="26"/>
      <c r="D395" s="26"/>
      <c r="E395" s="25"/>
      <c r="F395" s="25"/>
      <c r="G395" s="25"/>
      <c r="H395" s="25"/>
    </row>
    <row r="396" ht="14.25" customHeight="1">
      <c r="A396" s="25"/>
      <c r="B396" s="25"/>
      <c r="C396" s="26"/>
      <c r="D396" s="26"/>
      <c r="E396" s="25"/>
      <c r="F396" s="25"/>
      <c r="G396" s="25"/>
      <c r="H396" s="25"/>
    </row>
    <row r="397" ht="14.25" customHeight="1">
      <c r="A397" s="25"/>
      <c r="B397" s="25"/>
      <c r="C397" s="26"/>
      <c r="D397" s="26"/>
      <c r="E397" s="25"/>
      <c r="F397" s="25"/>
      <c r="G397" s="25"/>
      <c r="H397" s="25"/>
    </row>
    <row r="398" ht="14.25" customHeight="1">
      <c r="A398" s="25"/>
      <c r="B398" s="25"/>
      <c r="C398" s="26"/>
      <c r="D398" s="26"/>
      <c r="E398" s="25"/>
      <c r="F398" s="25"/>
      <c r="G398" s="25"/>
      <c r="H398" s="25"/>
    </row>
    <row r="399" ht="14.25" customHeight="1">
      <c r="A399" s="25"/>
      <c r="B399" s="25"/>
      <c r="C399" s="26"/>
      <c r="D399" s="26"/>
      <c r="E399" s="25"/>
      <c r="F399" s="25"/>
      <c r="G399" s="25"/>
      <c r="H399" s="25"/>
    </row>
    <row r="400" ht="14.25" customHeight="1">
      <c r="A400" s="25"/>
      <c r="B400" s="25"/>
      <c r="C400" s="26"/>
      <c r="D400" s="26"/>
      <c r="E400" s="25"/>
      <c r="F400" s="25"/>
      <c r="G400" s="25"/>
      <c r="H400" s="25"/>
    </row>
    <row r="401" ht="14.25" customHeight="1">
      <c r="A401" s="25"/>
      <c r="B401" s="25"/>
      <c r="C401" s="26"/>
      <c r="D401" s="26"/>
      <c r="E401" s="25"/>
      <c r="F401" s="25"/>
      <c r="G401" s="25"/>
      <c r="H401" s="25"/>
    </row>
    <row r="402" ht="14.25" customHeight="1">
      <c r="A402" s="25"/>
      <c r="B402" s="25"/>
      <c r="C402" s="26"/>
      <c r="D402" s="26"/>
      <c r="E402" s="25"/>
      <c r="F402" s="25"/>
      <c r="G402" s="25"/>
      <c r="H402" s="25"/>
    </row>
    <row r="403" ht="14.25" customHeight="1">
      <c r="A403" s="25"/>
      <c r="B403" s="25"/>
      <c r="C403" s="26"/>
      <c r="D403" s="26"/>
      <c r="E403" s="25"/>
      <c r="F403" s="25"/>
      <c r="G403" s="25"/>
      <c r="H403" s="25"/>
    </row>
    <row r="404" ht="14.25" customHeight="1">
      <c r="A404" s="25"/>
      <c r="B404" s="25"/>
      <c r="C404" s="26"/>
      <c r="D404" s="26"/>
      <c r="E404" s="25"/>
      <c r="F404" s="25"/>
      <c r="G404" s="25"/>
      <c r="H404" s="25"/>
    </row>
    <row r="405" ht="14.25" customHeight="1">
      <c r="A405" s="25"/>
      <c r="B405" s="25"/>
      <c r="C405" s="26"/>
      <c r="D405" s="26"/>
      <c r="E405" s="25"/>
      <c r="F405" s="25"/>
      <c r="G405" s="25"/>
      <c r="H405" s="25"/>
    </row>
    <row r="406" ht="14.25" customHeight="1">
      <c r="A406" s="25"/>
      <c r="B406" s="25"/>
      <c r="C406" s="26"/>
      <c r="D406" s="26"/>
      <c r="E406" s="25"/>
      <c r="F406" s="25"/>
      <c r="G406" s="25"/>
      <c r="H406" s="25"/>
    </row>
    <row r="407" ht="14.25" customHeight="1">
      <c r="A407" s="25"/>
      <c r="B407" s="25"/>
      <c r="C407" s="26"/>
      <c r="D407" s="26"/>
      <c r="E407" s="25"/>
      <c r="F407" s="25"/>
      <c r="G407" s="25"/>
      <c r="H407" s="25"/>
    </row>
    <row r="408" ht="14.25" customHeight="1">
      <c r="A408" s="25"/>
      <c r="B408" s="25"/>
      <c r="C408" s="26"/>
      <c r="D408" s="26"/>
      <c r="E408" s="25"/>
      <c r="F408" s="25"/>
      <c r="G408" s="25"/>
      <c r="H408" s="25"/>
    </row>
    <row r="409" ht="14.25" customHeight="1">
      <c r="A409" s="25"/>
      <c r="B409" s="25"/>
      <c r="C409" s="26"/>
      <c r="D409" s="26"/>
      <c r="E409" s="25"/>
      <c r="F409" s="25"/>
      <c r="G409" s="25"/>
      <c r="H409" s="25"/>
    </row>
    <row r="410" ht="14.25" customHeight="1">
      <c r="A410" s="25"/>
      <c r="B410" s="25"/>
      <c r="C410" s="26"/>
      <c r="D410" s="26"/>
      <c r="E410" s="25"/>
      <c r="F410" s="25"/>
      <c r="G410" s="25"/>
      <c r="H410" s="25"/>
    </row>
    <row r="411" ht="14.25" customHeight="1">
      <c r="A411" s="25"/>
      <c r="B411" s="25"/>
      <c r="C411" s="26"/>
      <c r="D411" s="26"/>
      <c r="E411" s="25"/>
      <c r="F411" s="25"/>
      <c r="G411" s="25"/>
      <c r="H411" s="25"/>
    </row>
    <row r="412" ht="14.25" customHeight="1">
      <c r="A412" s="25"/>
      <c r="B412" s="25"/>
      <c r="C412" s="26"/>
      <c r="D412" s="26"/>
      <c r="E412" s="25"/>
      <c r="F412" s="25"/>
      <c r="G412" s="25"/>
      <c r="H412" s="25"/>
    </row>
    <row r="413" ht="14.25" customHeight="1">
      <c r="A413" s="25"/>
      <c r="B413" s="25"/>
      <c r="C413" s="26"/>
      <c r="D413" s="26"/>
      <c r="E413" s="25"/>
      <c r="F413" s="25"/>
      <c r="G413" s="25"/>
      <c r="H413" s="25"/>
    </row>
    <row r="414" ht="14.25" customHeight="1">
      <c r="A414" s="25"/>
      <c r="B414" s="25"/>
      <c r="C414" s="26"/>
      <c r="D414" s="26"/>
      <c r="E414" s="25"/>
      <c r="F414" s="25"/>
      <c r="G414" s="25"/>
      <c r="H414" s="25"/>
    </row>
    <row r="415" ht="14.25" customHeight="1">
      <c r="A415" s="25"/>
      <c r="B415" s="25"/>
      <c r="C415" s="26"/>
      <c r="D415" s="26"/>
      <c r="E415" s="25"/>
      <c r="F415" s="25"/>
      <c r="G415" s="25"/>
      <c r="H415" s="25"/>
    </row>
    <row r="416" ht="14.25" customHeight="1">
      <c r="A416" s="25"/>
      <c r="B416" s="25"/>
      <c r="C416" s="26"/>
      <c r="D416" s="26"/>
      <c r="E416" s="25"/>
      <c r="F416" s="25"/>
      <c r="G416" s="25"/>
      <c r="H416" s="25"/>
    </row>
    <row r="417" ht="14.25" customHeight="1">
      <c r="A417" s="25"/>
      <c r="B417" s="25"/>
      <c r="C417" s="26"/>
      <c r="D417" s="26"/>
      <c r="E417" s="25"/>
      <c r="F417" s="25"/>
      <c r="G417" s="25"/>
      <c r="H417" s="25"/>
    </row>
    <row r="418" ht="14.25" customHeight="1">
      <c r="A418" s="25"/>
      <c r="B418" s="25"/>
      <c r="C418" s="26"/>
      <c r="D418" s="26"/>
      <c r="E418" s="25"/>
      <c r="F418" s="25"/>
      <c r="G418" s="25"/>
      <c r="H418" s="25"/>
    </row>
    <row r="419" ht="14.25" customHeight="1">
      <c r="A419" s="25"/>
      <c r="B419" s="25"/>
      <c r="C419" s="26"/>
      <c r="D419" s="26"/>
      <c r="E419" s="25"/>
      <c r="F419" s="25"/>
      <c r="G419" s="25"/>
      <c r="H419" s="25"/>
    </row>
    <row r="420" ht="14.25" customHeight="1">
      <c r="A420" s="25"/>
      <c r="B420" s="25"/>
      <c r="C420" s="26"/>
      <c r="D420" s="26"/>
      <c r="E420" s="25"/>
      <c r="F420" s="25"/>
      <c r="G420" s="25"/>
      <c r="H420" s="25"/>
    </row>
    <row r="421" ht="14.25" customHeight="1">
      <c r="A421" s="25"/>
      <c r="B421" s="25"/>
      <c r="C421" s="26"/>
      <c r="D421" s="26"/>
      <c r="E421" s="25"/>
      <c r="F421" s="25"/>
      <c r="G421" s="25"/>
      <c r="H421" s="25"/>
    </row>
    <row r="422" ht="14.25" customHeight="1">
      <c r="A422" s="25"/>
      <c r="B422" s="25"/>
      <c r="C422" s="26"/>
      <c r="D422" s="26"/>
      <c r="E422" s="25"/>
      <c r="F422" s="25"/>
      <c r="G422" s="25"/>
      <c r="H422" s="25"/>
    </row>
    <row r="423" ht="14.25" customHeight="1">
      <c r="A423" s="25"/>
      <c r="B423" s="25"/>
      <c r="C423" s="26"/>
      <c r="D423" s="26"/>
      <c r="E423" s="25"/>
      <c r="F423" s="25"/>
      <c r="G423" s="25"/>
      <c r="H423" s="25"/>
    </row>
    <row r="424" ht="14.25" customHeight="1">
      <c r="A424" s="25"/>
      <c r="B424" s="25"/>
      <c r="C424" s="26"/>
      <c r="D424" s="26"/>
      <c r="E424" s="25"/>
      <c r="F424" s="25"/>
      <c r="G424" s="25"/>
      <c r="H424" s="25"/>
    </row>
    <row r="425" ht="14.25" customHeight="1">
      <c r="A425" s="25"/>
      <c r="B425" s="25"/>
      <c r="C425" s="26"/>
      <c r="D425" s="26"/>
      <c r="E425" s="25"/>
      <c r="F425" s="25"/>
      <c r="G425" s="25"/>
      <c r="H425" s="25"/>
    </row>
    <row r="426" ht="14.25" customHeight="1">
      <c r="A426" s="25"/>
      <c r="B426" s="25"/>
      <c r="C426" s="26"/>
      <c r="D426" s="26"/>
      <c r="E426" s="25"/>
      <c r="F426" s="25"/>
      <c r="G426" s="25"/>
      <c r="H426" s="25"/>
    </row>
    <row r="427" ht="14.25" customHeight="1">
      <c r="A427" s="25"/>
      <c r="B427" s="25"/>
      <c r="C427" s="26"/>
      <c r="D427" s="26"/>
      <c r="E427" s="25"/>
      <c r="F427" s="25"/>
      <c r="G427" s="25"/>
      <c r="H427" s="25"/>
    </row>
    <row r="428" ht="14.25" customHeight="1">
      <c r="A428" s="25"/>
      <c r="B428" s="25"/>
      <c r="C428" s="26"/>
      <c r="D428" s="26"/>
      <c r="E428" s="25"/>
      <c r="F428" s="25"/>
      <c r="G428" s="25"/>
      <c r="H428" s="25"/>
    </row>
    <row r="429" ht="14.25" customHeight="1">
      <c r="A429" s="25"/>
      <c r="B429" s="25"/>
      <c r="C429" s="26"/>
      <c r="D429" s="26"/>
      <c r="E429" s="25"/>
      <c r="F429" s="25"/>
      <c r="G429" s="25"/>
      <c r="H429" s="25"/>
    </row>
    <row r="430" ht="14.25" customHeight="1">
      <c r="A430" s="25"/>
      <c r="B430" s="25"/>
      <c r="C430" s="26"/>
      <c r="D430" s="26"/>
      <c r="E430" s="25"/>
      <c r="F430" s="25"/>
      <c r="G430" s="25"/>
      <c r="H430" s="25"/>
    </row>
    <row r="431" ht="14.25" customHeight="1">
      <c r="A431" s="25"/>
      <c r="B431" s="25"/>
      <c r="C431" s="26"/>
      <c r="D431" s="26"/>
      <c r="E431" s="25"/>
      <c r="F431" s="25"/>
      <c r="G431" s="25"/>
      <c r="H431" s="25"/>
    </row>
    <row r="432" ht="14.25" customHeight="1">
      <c r="A432" s="25"/>
      <c r="B432" s="25"/>
      <c r="C432" s="26"/>
      <c r="D432" s="26"/>
      <c r="E432" s="25"/>
      <c r="F432" s="25"/>
      <c r="G432" s="25"/>
      <c r="H432" s="25"/>
    </row>
    <row r="433" ht="14.25" customHeight="1">
      <c r="A433" s="25"/>
      <c r="B433" s="25"/>
      <c r="C433" s="26"/>
      <c r="D433" s="26"/>
      <c r="E433" s="25"/>
      <c r="F433" s="25"/>
      <c r="G433" s="25"/>
      <c r="H433" s="25"/>
    </row>
    <row r="434" ht="14.25" customHeight="1">
      <c r="A434" s="25"/>
      <c r="B434" s="25"/>
      <c r="C434" s="26"/>
      <c r="D434" s="26"/>
      <c r="E434" s="25"/>
      <c r="F434" s="25"/>
      <c r="G434" s="25"/>
      <c r="H434" s="25"/>
    </row>
    <row r="435" ht="14.25" customHeight="1">
      <c r="A435" s="25"/>
      <c r="B435" s="25"/>
      <c r="C435" s="26"/>
      <c r="D435" s="26"/>
      <c r="E435" s="25"/>
      <c r="F435" s="25"/>
      <c r="G435" s="25"/>
      <c r="H435" s="25"/>
    </row>
    <row r="436" ht="14.25" customHeight="1">
      <c r="A436" s="25"/>
      <c r="B436" s="25"/>
      <c r="C436" s="26"/>
      <c r="D436" s="26"/>
      <c r="E436" s="25"/>
      <c r="F436" s="25"/>
      <c r="G436" s="25"/>
      <c r="H436" s="25"/>
    </row>
    <row r="437" ht="14.25" customHeight="1">
      <c r="A437" s="25"/>
      <c r="B437" s="25"/>
      <c r="C437" s="26"/>
      <c r="D437" s="26"/>
      <c r="E437" s="25"/>
      <c r="F437" s="25"/>
      <c r="G437" s="25"/>
      <c r="H437" s="25"/>
    </row>
    <row r="438" ht="14.25" customHeight="1">
      <c r="A438" s="25"/>
      <c r="B438" s="25"/>
      <c r="C438" s="26"/>
      <c r="D438" s="26"/>
      <c r="E438" s="25"/>
      <c r="F438" s="25"/>
      <c r="G438" s="25"/>
      <c r="H438" s="25"/>
    </row>
    <row r="439" ht="14.25" customHeight="1">
      <c r="A439" s="25"/>
      <c r="B439" s="25"/>
      <c r="C439" s="26"/>
      <c r="D439" s="26"/>
      <c r="E439" s="25"/>
      <c r="F439" s="25"/>
      <c r="G439" s="25"/>
      <c r="H439" s="25"/>
    </row>
    <row r="440" ht="14.25" customHeight="1">
      <c r="A440" s="25"/>
      <c r="B440" s="25"/>
      <c r="C440" s="26"/>
      <c r="D440" s="26"/>
      <c r="E440" s="25"/>
      <c r="F440" s="25"/>
      <c r="G440" s="25"/>
      <c r="H440" s="25"/>
    </row>
    <row r="441" ht="14.25" customHeight="1">
      <c r="A441" s="25"/>
      <c r="B441" s="25"/>
      <c r="C441" s="26"/>
      <c r="D441" s="26"/>
      <c r="E441" s="25"/>
      <c r="F441" s="25"/>
      <c r="G441" s="25"/>
      <c r="H441" s="25"/>
    </row>
    <row r="442" ht="14.25" customHeight="1">
      <c r="A442" s="25"/>
      <c r="B442" s="25"/>
      <c r="C442" s="26"/>
      <c r="D442" s="26"/>
      <c r="E442" s="25"/>
      <c r="F442" s="25"/>
      <c r="G442" s="25"/>
      <c r="H442" s="25"/>
    </row>
    <row r="443" ht="14.25" customHeight="1">
      <c r="A443" s="25"/>
      <c r="B443" s="25"/>
      <c r="C443" s="26"/>
      <c r="D443" s="26"/>
      <c r="E443" s="25"/>
      <c r="F443" s="25"/>
      <c r="G443" s="25"/>
      <c r="H443" s="25"/>
    </row>
    <row r="444" ht="14.25" customHeight="1">
      <c r="A444" s="25"/>
      <c r="B444" s="25"/>
      <c r="C444" s="26"/>
      <c r="D444" s="26"/>
      <c r="E444" s="25"/>
      <c r="F444" s="25"/>
      <c r="G444" s="25"/>
      <c r="H444" s="25"/>
    </row>
    <row r="445" ht="14.25" customHeight="1">
      <c r="A445" s="25"/>
      <c r="B445" s="25"/>
      <c r="C445" s="26"/>
      <c r="D445" s="26"/>
      <c r="E445" s="25"/>
      <c r="F445" s="25"/>
      <c r="G445" s="25"/>
      <c r="H445" s="25"/>
    </row>
    <row r="446" ht="14.25" customHeight="1">
      <c r="A446" s="25"/>
      <c r="B446" s="25"/>
      <c r="C446" s="26"/>
      <c r="D446" s="26"/>
      <c r="E446" s="25"/>
      <c r="F446" s="25"/>
      <c r="G446" s="25"/>
      <c r="H446" s="25"/>
    </row>
    <row r="447" ht="14.25" customHeight="1">
      <c r="A447" s="25"/>
      <c r="B447" s="25"/>
      <c r="C447" s="26"/>
      <c r="D447" s="26"/>
      <c r="E447" s="25"/>
      <c r="F447" s="25"/>
      <c r="G447" s="25"/>
      <c r="H447" s="25"/>
    </row>
    <row r="448" ht="14.25" customHeight="1">
      <c r="A448" s="25"/>
      <c r="B448" s="25"/>
      <c r="C448" s="26"/>
      <c r="D448" s="26"/>
      <c r="E448" s="25"/>
      <c r="F448" s="25"/>
      <c r="G448" s="25"/>
      <c r="H448" s="25"/>
    </row>
    <row r="449" ht="14.25" customHeight="1">
      <c r="A449" s="25"/>
      <c r="B449" s="25"/>
      <c r="C449" s="26"/>
      <c r="D449" s="26"/>
      <c r="E449" s="25"/>
      <c r="F449" s="25"/>
      <c r="G449" s="25"/>
      <c r="H449" s="25"/>
    </row>
    <row r="450" ht="14.25" customHeight="1">
      <c r="A450" s="25"/>
      <c r="B450" s="25"/>
      <c r="C450" s="26"/>
      <c r="D450" s="26"/>
      <c r="E450" s="25"/>
      <c r="F450" s="25"/>
      <c r="G450" s="25"/>
      <c r="H450" s="25"/>
    </row>
    <row r="451" ht="14.25" customHeight="1">
      <c r="A451" s="25"/>
      <c r="B451" s="25"/>
      <c r="C451" s="26"/>
      <c r="D451" s="26"/>
      <c r="E451" s="25"/>
      <c r="F451" s="25"/>
      <c r="G451" s="25"/>
      <c r="H451" s="25"/>
    </row>
    <row r="452" ht="14.25" customHeight="1">
      <c r="A452" s="25"/>
      <c r="B452" s="25"/>
      <c r="C452" s="26"/>
      <c r="D452" s="26"/>
      <c r="E452" s="25"/>
      <c r="F452" s="25"/>
      <c r="G452" s="25"/>
      <c r="H452" s="25"/>
    </row>
    <row r="453" ht="14.25" customHeight="1">
      <c r="A453" s="25"/>
      <c r="B453" s="25"/>
      <c r="C453" s="26"/>
      <c r="D453" s="26"/>
      <c r="E453" s="25"/>
      <c r="F453" s="25"/>
      <c r="G453" s="25"/>
      <c r="H453" s="25"/>
    </row>
    <row r="454" ht="14.25" customHeight="1">
      <c r="A454" s="25"/>
      <c r="B454" s="25"/>
      <c r="C454" s="26"/>
      <c r="D454" s="26"/>
      <c r="E454" s="25"/>
      <c r="F454" s="25"/>
      <c r="G454" s="25"/>
      <c r="H454" s="25"/>
    </row>
    <row r="455" ht="14.25" customHeight="1">
      <c r="A455" s="25"/>
      <c r="B455" s="25"/>
      <c r="C455" s="26"/>
      <c r="D455" s="26"/>
      <c r="E455" s="25"/>
      <c r="F455" s="25"/>
      <c r="G455" s="25"/>
      <c r="H455" s="25"/>
    </row>
    <row r="456" ht="14.25" customHeight="1">
      <c r="A456" s="25"/>
      <c r="B456" s="25"/>
      <c r="C456" s="26"/>
      <c r="D456" s="26"/>
      <c r="E456" s="25"/>
      <c r="F456" s="25"/>
      <c r="G456" s="25"/>
      <c r="H456" s="25"/>
    </row>
    <row r="457" ht="14.25" customHeight="1">
      <c r="A457" s="25"/>
      <c r="B457" s="25"/>
      <c r="C457" s="26"/>
      <c r="D457" s="26"/>
      <c r="E457" s="25"/>
      <c r="F457" s="25"/>
      <c r="G457" s="25"/>
      <c r="H457" s="25"/>
    </row>
    <row r="458" ht="14.25" customHeight="1">
      <c r="A458" s="25"/>
      <c r="B458" s="25"/>
      <c r="C458" s="26"/>
      <c r="D458" s="26"/>
      <c r="E458" s="25"/>
      <c r="F458" s="25"/>
      <c r="G458" s="25"/>
      <c r="H458" s="25"/>
    </row>
    <row r="459" ht="14.25" customHeight="1">
      <c r="A459" s="25"/>
      <c r="B459" s="25"/>
      <c r="C459" s="26"/>
      <c r="D459" s="26"/>
      <c r="E459" s="25"/>
      <c r="F459" s="25"/>
      <c r="G459" s="25"/>
      <c r="H459" s="25"/>
    </row>
    <row r="460" ht="14.25" customHeight="1">
      <c r="A460" s="25"/>
      <c r="B460" s="25"/>
      <c r="C460" s="26"/>
      <c r="D460" s="26"/>
      <c r="E460" s="25"/>
      <c r="F460" s="25"/>
      <c r="G460" s="25"/>
      <c r="H460" s="25"/>
    </row>
    <row r="461" ht="14.25" customHeight="1">
      <c r="A461" s="25"/>
      <c r="B461" s="25"/>
      <c r="C461" s="26"/>
      <c r="D461" s="26"/>
      <c r="E461" s="25"/>
      <c r="F461" s="25"/>
      <c r="G461" s="25"/>
      <c r="H461" s="25"/>
    </row>
    <row r="462" ht="14.25" customHeight="1">
      <c r="A462" s="25"/>
      <c r="B462" s="25"/>
      <c r="C462" s="26"/>
      <c r="D462" s="26"/>
      <c r="E462" s="25"/>
      <c r="F462" s="25"/>
      <c r="G462" s="25"/>
      <c r="H462" s="25"/>
    </row>
    <row r="463" ht="14.25" customHeight="1">
      <c r="A463" s="25"/>
      <c r="B463" s="25"/>
      <c r="C463" s="26"/>
      <c r="D463" s="26"/>
      <c r="E463" s="25"/>
      <c r="F463" s="25"/>
      <c r="G463" s="25"/>
      <c r="H463" s="25"/>
    </row>
    <row r="464" ht="14.25" customHeight="1">
      <c r="A464" s="25"/>
      <c r="B464" s="25"/>
      <c r="C464" s="26"/>
      <c r="D464" s="26"/>
      <c r="E464" s="25"/>
      <c r="F464" s="25"/>
      <c r="G464" s="25"/>
      <c r="H464" s="25"/>
    </row>
    <row r="465" ht="14.25" customHeight="1">
      <c r="A465" s="25"/>
      <c r="B465" s="25"/>
      <c r="C465" s="26"/>
      <c r="D465" s="26"/>
      <c r="E465" s="25"/>
      <c r="F465" s="25"/>
      <c r="G465" s="25"/>
      <c r="H465" s="25"/>
    </row>
    <row r="466" ht="14.25" customHeight="1">
      <c r="A466" s="25"/>
      <c r="B466" s="25"/>
      <c r="C466" s="26"/>
      <c r="D466" s="26"/>
      <c r="E466" s="25"/>
      <c r="F466" s="25"/>
      <c r="G466" s="25"/>
      <c r="H466" s="25"/>
    </row>
    <row r="467" ht="14.25" customHeight="1">
      <c r="A467" s="25"/>
      <c r="B467" s="25"/>
      <c r="C467" s="26"/>
      <c r="D467" s="26"/>
      <c r="E467" s="25"/>
      <c r="F467" s="25"/>
      <c r="G467" s="25"/>
      <c r="H467" s="25"/>
    </row>
    <row r="468" ht="14.25" customHeight="1">
      <c r="A468" s="25"/>
      <c r="B468" s="25"/>
      <c r="C468" s="26"/>
      <c r="D468" s="26"/>
      <c r="E468" s="25"/>
      <c r="F468" s="25"/>
      <c r="G468" s="25"/>
      <c r="H468" s="25"/>
    </row>
    <row r="469" ht="14.25" customHeight="1">
      <c r="A469" s="25"/>
      <c r="B469" s="25"/>
      <c r="C469" s="26"/>
      <c r="D469" s="26"/>
      <c r="E469" s="25"/>
      <c r="F469" s="25"/>
      <c r="G469" s="25"/>
      <c r="H469" s="25"/>
    </row>
    <row r="470" ht="14.25" customHeight="1">
      <c r="A470" s="25"/>
      <c r="B470" s="25"/>
      <c r="C470" s="26"/>
      <c r="D470" s="26"/>
      <c r="E470" s="25"/>
      <c r="F470" s="25"/>
      <c r="G470" s="25"/>
      <c r="H470" s="25"/>
    </row>
    <row r="471" ht="14.25" customHeight="1">
      <c r="A471" s="25"/>
      <c r="B471" s="25"/>
      <c r="C471" s="26"/>
      <c r="D471" s="26"/>
      <c r="E471" s="25"/>
      <c r="F471" s="25"/>
      <c r="G471" s="25"/>
      <c r="H471" s="25"/>
    </row>
    <row r="472" ht="14.25" customHeight="1">
      <c r="A472" s="25"/>
      <c r="B472" s="25"/>
      <c r="C472" s="26"/>
      <c r="D472" s="26"/>
      <c r="E472" s="25"/>
      <c r="F472" s="25"/>
      <c r="G472" s="25"/>
      <c r="H472" s="25"/>
    </row>
    <row r="473" ht="14.25" customHeight="1">
      <c r="A473" s="25"/>
      <c r="B473" s="25"/>
      <c r="C473" s="26"/>
      <c r="D473" s="26"/>
      <c r="E473" s="25"/>
      <c r="F473" s="25"/>
      <c r="G473" s="25"/>
      <c r="H473" s="25"/>
    </row>
    <row r="474" ht="14.25" customHeight="1">
      <c r="A474" s="25"/>
      <c r="B474" s="25"/>
      <c r="C474" s="26"/>
      <c r="D474" s="26"/>
      <c r="E474" s="25"/>
      <c r="F474" s="25"/>
      <c r="G474" s="25"/>
      <c r="H474" s="25"/>
    </row>
    <row r="475" ht="14.25" customHeight="1">
      <c r="A475" s="25"/>
      <c r="B475" s="25"/>
      <c r="C475" s="26"/>
      <c r="D475" s="26"/>
      <c r="E475" s="25"/>
      <c r="F475" s="25"/>
      <c r="G475" s="25"/>
      <c r="H475" s="25"/>
    </row>
    <row r="476" ht="14.25" customHeight="1">
      <c r="A476" s="25"/>
      <c r="B476" s="25"/>
      <c r="C476" s="26"/>
      <c r="D476" s="26"/>
      <c r="E476" s="25"/>
      <c r="F476" s="25"/>
      <c r="G476" s="25"/>
      <c r="H476" s="25"/>
    </row>
    <row r="477" ht="14.25" customHeight="1">
      <c r="A477" s="25"/>
      <c r="B477" s="25"/>
      <c r="C477" s="26"/>
      <c r="D477" s="26"/>
      <c r="E477" s="25"/>
      <c r="F477" s="25"/>
      <c r="G477" s="25"/>
      <c r="H477" s="25"/>
    </row>
    <row r="478" ht="14.25" customHeight="1">
      <c r="A478" s="25"/>
      <c r="B478" s="25"/>
      <c r="C478" s="26"/>
      <c r="D478" s="26"/>
      <c r="E478" s="25"/>
      <c r="F478" s="25"/>
      <c r="G478" s="25"/>
      <c r="H478" s="25"/>
    </row>
    <row r="479" ht="14.25" customHeight="1">
      <c r="A479" s="25"/>
      <c r="B479" s="25"/>
      <c r="C479" s="26"/>
      <c r="D479" s="26"/>
      <c r="E479" s="25"/>
      <c r="F479" s="25"/>
      <c r="G479" s="25"/>
      <c r="H479" s="25"/>
    </row>
    <row r="480" ht="14.25" customHeight="1">
      <c r="A480" s="25"/>
      <c r="B480" s="25"/>
      <c r="C480" s="26"/>
      <c r="D480" s="26"/>
      <c r="E480" s="25"/>
      <c r="F480" s="25"/>
      <c r="G480" s="25"/>
      <c r="H480" s="25"/>
    </row>
    <row r="481" ht="14.25" customHeight="1">
      <c r="A481" s="25"/>
      <c r="B481" s="25"/>
      <c r="C481" s="26"/>
      <c r="D481" s="26"/>
      <c r="E481" s="25"/>
      <c r="F481" s="25"/>
      <c r="G481" s="25"/>
      <c r="H481" s="25"/>
    </row>
    <row r="482" ht="14.25" customHeight="1">
      <c r="A482" s="25"/>
      <c r="B482" s="25"/>
      <c r="C482" s="26"/>
      <c r="D482" s="26"/>
      <c r="E482" s="25"/>
      <c r="F482" s="25"/>
      <c r="G482" s="25"/>
      <c r="H482" s="25"/>
    </row>
    <row r="483" ht="14.25" customHeight="1">
      <c r="A483" s="25"/>
      <c r="B483" s="25"/>
      <c r="C483" s="26"/>
      <c r="D483" s="26"/>
      <c r="E483" s="25"/>
      <c r="F483" s="25"/>
      <c r="G483" s="25"/>
      <c r="H483" s="25"/>
    </row>
    <row r="484" ht="14.25" customHeight="1">
      <c r="A484" s="25"/>
      <c r="B484" s="25"/>
      <c r="C484" s="26"/>
      <c r="D484" s="26"/>
      <c r="E484" s="25"/>
      <c r="F484" s="25"/>
      <c r="G484" s="25"/>
      <c r="H484" s="25"/>
    </row>
    <row r="485" ht="14.25" customHeight="1">
      <c r="A485" s="25"/>
      <c r="B485" s="25"/>
      <c r="C485" s="26"/>
      <c r="D485" s="26"/>
      <c r="E485" s="25"/>
      <c r="F485" s="25"/>
      <c r="G485" s="25"/>
      <c r="H485" s="25"/>
    </row>
    <row r="486" ht="14.25" customHeight="1">
      <c r="A486" s="25"/>
      <c r="B486" s="25"/>
      <c r="C486" s="26"/>
      <c r="D486" s="26"/>
      <c r="E486" s="25"/>
      <c r="F486" s="25"/>
      <c r="G486" s="25"/>
      <c r="H486" s="25"/>
    </row>
    <row r="487" ht="14.25" customHeight="1">
      <c r="A487" s="25"/>
      <c r="B487" s="25"/>
      <c r="C487" s="26"/>
      <c r="D487" s="26"/>
      <c r="E487" s="25"/>
      <c r="F487" s="25"/>
      <c r="G487" s="25"/>
      <c r="H487" s="25"/>
    </row>
    <row r="488" ht="14.25" customHeight="1">
      <c r="A488" s="25"/>
      <c r="B488" s="25"/>
      <c r="C488" s="26"/>
      <c r="D488" s="26"/>
      <c r="E488" s="25"/>
      <c r="F488" s="25"/>
      <c r="G488" s="25"/>
      <c r="H488" s="25"/>
    </row>
    <row r="489" ht="14.25" customHeight="1">
      <c r="A489" s="25"/>
      <c r="B489" s="25"/>
      <c r="C489" s="26"/>
      <c r="D489" s="26"/>
      <c r="E489" s="25"/>
      <c r="F489" s="25"/>
      <c r="G489" s="25"/>
      <c r="H489" s="25"/>
    </row>
    <row r="490" ht="14.25" customHeight="1">
      <c r="A490" s="25"/>
      <c r="B490" s="25"/>
      <c r="C490" s="26"/>
      <c r="D490" s="26"/>
      <c r="E490" s="25"/>
      <c r="F490" s="25"/>
      <c r="G490" s="25"/>
      <c r="H490" s="25"/>
    </row>
    <row r="491" ht="14.25" customHeight="1">
      <c r="A491" s="25"/>
      <c r="B491" s="25"/>
      <c r="C491" s="26"/>
      <c r="D491" s="26"/>
      <c r="E491" s="25"/>
      <c r="F491" s="25"/>
      <c r="G491" s="25"/>
      <c r="H491" s="25"/>
    </row>
    <row r="492" ht="14.25" customHeight="1">
      <c r="A492" s="25"/>
      <c r="B492" s="25"/>
      <c r="C492" s="26"/>
      <c r="D492" s="26"/>
      <c r="E492" s="25"/>
      <c r="F492" s="25"/>
      <c r="G492" s="25"/>
      <c r="H492" s="25"/>
    </row>
    <row r="493" ht="14.25" customHeight="1">
      <c r="A493" s="25"/>
      <c r="B493" s="25"/>
      <c r="C493" s="26"/>
      <c r="D493" s="26"/>
      <c r="E493" s="25"/>
      <c r="F493" s="25"/>
      <c r="G493" s="25"/>
      <c r="H493" s="25"/>
    </row>
    <row r="494" ht="14.25" customHeight="1">
      <c r="A494" s="25"/>
      <c r="B494" s="25"/>
      <c r="C494" s="26"/>
      <c r="D494" s="26"/>
      <c r="E494" s="25"/>
      <c r="F494" s="25"/>
      <c r="G494" s="25"/>
      <c r="H494" s="25"/>
    </row>
    <row r="495" ht="14.25" customHeight="1">
      <c r="A495" s="25"/>
      <c r="B495" s="25"/>
      <c r="C495" s="26"/>
      <c r="D495" s="26"/>
      <c r="E495" s="25"/>
      <c r="F495" s="25"/>
      <c r="G495" s="25"/>
      <c r="H495" s="25"/>
    </row>
    <row r="496" ht="14.25" customHeight="1">
      <c r="A496" s="25"/>
      <c r="B496" s="25"/>
      <c r="C496" s="26"/>
      <c r="D496" s="26"/>
      <c r="E496" s="25"/>
      <c r="F496" s="25"/>
      <c r="G496" s="25"/>
      <c r="H496" s="25"/>
    </row>
    <row r="497" ht="14.25" customHeight="1">
      <c r="A497" s="25"/>
      <c r="B497" s="25"/>
      <c r="C497" s="26"/>
      <c r="D497" s="26"/>
      <c r="E497" s="25"/>
      <c r="F497" s="25"/>
      <c r="G497" s="25"/>
      <c r="H497" s="25"/>
    </row>
    <row r="498" ht="14.25" customHeight="1">
      <c r="A498" s="25"/>
      <c r="B498" s="25"/>
      <c r="C498" s="26"/>
      <c r="D498" s="26"/>
      <c r="E498" s="25"/>
      <c r="F498" s="25"/>
      <c r="G498" s="25"/>
      <c r="H498" s="25"/>
    </row>
    <row r="499" ht="14.25" customHeight="1">
      <c r="A499" s="25"/>
      <c r="B499" s="25"/>
      <c r="C499" s="26"/>
      <c r="D499" s="26"/>
      <c r="E499" s="25"/>
      <c r="F499" s="25"/>
      <c r="G499" s="25"/>
      <c r="H499" s="25"/>
    </row>
    <row r="500" ht="14.25" customHeight="1">
      <c r="A500" s="25"/>
      <c r="B500" s="25"/>
      <c r="C500" s="26"/>
      <c r="D500" s="26"/>
      <c r="E500" s="25"/>
      <c r="F500" s="25"/>
      <c r="G500" s="25"/>
      <c r="H500" s="25"/>
    </row>
    <row r="501" ht="14.25" customHeight="1">
      <c r="A501" s="25"/>
      <c r="B501" s="25"/>
      <c r="C501" s="26"/>
      <c r="D501" s="26"/>
      <c r="E501" s="25"/>
      <c r="F501" s="25"/>
      <c r="G501" s="25"/>
      <c r="H501" s="25"/>
    </row>
    <row r="502" ht="14.25" customHeight="1">
      <c r="A502" s="25"/>
      <c r="B502" s="25"/>
      <c r="C502" s="26"/>
      <c r="D502" s="26"/>
      <c r="E502" s="25"/>
      <c r="F502" s="25"/>
      <c r="G502" s="25"/>
      <c r="H502" s="25"/>
    </row>
    <row r="503" ht="14.25" customHeight="1">
      <c r="A503" s="25"/>
      <c r="B503" s="25"/>
      <c r="C503" s="26"/>
      <c r="D503" s="26"/>
      <c r="E503" s="25"/>
      <c r="F503" s="25"/>
      <c r="G503" s="25"/>
      <c r="H503" s="25"/>
    </row>
    <row r="504" ht="14.25" customHeight="1">
      <c r="A504" s="25"/>
      <c r="B504" s="25"/>
      <c r="C504" s="26"/>
      <c r="D504" s="26"/>
      <c r="E504" s="25"/>
      <c r="F504" s="25"/>
      <c r="G504" s="25"/>
      <c r="H504" s="25"/>
    </row>
    <row r="505" ht="14.25" customHeight="1">
      <c r="A505" s="25"/>
      <c r="B505" s="25"/>
      <c r="C505" s="26"/>
      <c r="D505" s="26"/>
      <c r="E505" s="25"/>
      <c r="F505" s="25"/>
      <c r="G505" s="25"/>
      <c r="H505" s="25"/>
    </row>
    <row r="506" ht="14.25" customHeight="1">
      <c r="A506" s="25"/>
      <c r="B506" s="25"/>
      <c r="C506" s="26"/>
      <c r="D506" s="26"/>
      <c r="E506" s="25"/>
      <c r="F506" s="25"/>
      <c r="G506" s="25"/>
      <c r="H506" s="25"/>
    </row>
    <row r="507" ht="14.25" customHeight="1">
      <c r="A507" s="25"/>
      <c r="B507" s="25"/>
      <c r="C507" s="26"/>
      <c r="D507" s="26"/>
      <c r="E507" s="25"/>
      <c r="F507" s="25"/>
      <c r="G507" s="25"/>
      <c r="H507" s="25"/>
    </row>
    <row r="508" ht="14.25" customHeight="1">
      <c r="A508" s="25"/>
      <c r="B508" s="25"/>
      <c r="C508" s="26"/>
      <c r="D508" s="26"/>
      <c r="E508" s="25"/>
      <c r="F508" s="25"/>
      <c r="G508" s="25"/>
      <c r="H508" s="25"/>
    </row>
    <row r="509" ht="14.25" customHeight="1">
      <c r="A509" s="25"/>
      <c r="B509" s="25"/>
      <c r="C509" s="26"/>
      <c r="D509" s="26"/>
      <c r="E509" s="25"/>
      <c r="F509" s="25"/>
      <c r="G509" s="25"/>
      <c r="H509" s="25"/>
    </row>
    <row r="510" ht="14.25" customHeight="1">
      <c r="A510" s="25"/>
      <c r="B510" s="25"/>
      <c r="C510" s="26"/>
      <c r="D510" s="26"/>
      <c r="E510" s="25"/>
      <c r="F510" s="25"/>
      <c r="G510" s="25"/>
      <c r="H510" s="25"/>
    </row>
    <row r="511" ht="14.25" customHeight="1">
      <c r="A511" s="25"/>
      <c r="B511" s="25"/>
      <c r="C511" s="26"/>
      <c r="D511" s="26"/>
      <c r="E511" s="25"/>
      <c r="F511" s="25"/>
      <c r="G511" s="25"/>
      <c r="H511" s="25"/>
    </row>
    <row r="512" ht="14.25" customHeight="1">
      <c r="A512" s="25"/>
      <c r="B512" s="25"/>
      <c r="C512" s="26"/>
      <c r="D512" s="26"/>
      <c r="E512" s="25"/>
      <c r="F512" s="25"/>
      <c r="G512" s="25"/>
      <c r="H512" s="25"/>
    </row>
    <row r="513" ht="14.25" customHeight="1">
      <c r="A513" s="25"/>
      <c r="B513" s="25"/>
      <c r="C513" s="26"/>
      <c r="D513" s="26"/>
      <c r="E513" s="25"/>
      <c r="F513" s="25"/>
      <c r="G513" s="25"/>
      <c r="H513" s="25"/>
    </row>
    <row r="514" ht="14.25" customHeight="1">
      <c r="A514" s="25"/>
      <c r="B514" s="25"/>
      <c r="C514" s="26"/>
      <c r="D514" s="26"/>
      <c r="E514" s="25"/>
      <c r="F514" s="25"/>
      <c r="G514" s="25"/>
      <c r="H514" s="25"/>
    </row>
    <row r="515" ht="14.25" customHeight="1">
      <c r="A515" s="25"/>
      <c r="B515" s="25"/>
      <c r="C515" s="26"/>
      <c r="D515" s="26"/>
      <c r="E515" s="25"/>
      <c r="F515" s="25"/>
      <c r="G515" s="25"/>
      <c r="H515" s="25"/>
    </row>
    <row r="516" ht="14.25" customHeight="1">
      <c r="A516" s="25"/>
      <c r="B516" s="25"/>
      <c r="C516" s="26"/>
      <c r="D516" s="26"/>
      <c r="E516" s="25"/>
      <c r="F516" s="25"/>
      <c r="G516" s="25"/>
      <c r="H516" s="25"/>
    </row>
    <row r="517" ht="14.25" customHeight="1">
      <c r="A517" s="25"/>
      <c r="B517" s="25"/>
      <c r="C517" s="26"/>
      <c r="D517" s="26"/>
      <c r="E517" s="25"/>
      <c r="F517" s="25"/>
      <c r="G517" s="25"/>
      <c r="H517" s="25"/>
    </row>
    <row r="518" ht="14.25" customHeight="1">
      <c r="A518" s="25"/>
      <c r="B518" s="25"/>
      <c r="C518" s="26"/>
      <c r="D518" s="26"/>
      <c r="E518" s="25"/>
      <c r="F518" s="25"/>
      <c r="G518" s="25"/>
      <c r="H518" s="25"/>
    </row>
    <row r="519" ht="14.25" customHeight="1">
      <c r="A519" s="25"/>
      <c r="B519" s="25"/>
      <c r="C519" s="26"/>
      <c r="D519" s="26"/>
      <c r="E519" s="25"/>
      <c r="F519" s="25"/>
      <c r="G519" s="25"/>
      <c r="H519" s="25"/>
    </row>
    <row r="520" ht="14.25" customHeight="1">
      <c r="A520" s="25"/>
      <c r="B520" s="25"/>
      <c r="C520" s="26"/>
      <c r="D520" s="26"/>
      <c r="E520" s="25"/>
      <c r="F520" s="25"/>
      <c r="G520" s="25"/>
      <c r="H520" s="25"/>
    </row>
    <row r="521" ht="14.25" customHeight="1">
      <c r="A521" s="25"/>
      <c r="B521" s="25"/>
      <c r="C521" s="26"/>
      <c r="D521" s="26"/>
      <c r="E521" s="25"/>
      <c r="F521" s="25"/>
      <c r="G521" s="25"/>
      <c r="H521" s="25"/>
    </row>
    <row r="522" ht="14.25" customHeight="1">
      <c r="A522" s="25"/>
      <c r="B522" s="25"/>
      <c r="C522" s="26"/>
      <c r="D522" s="26"/>
      <c r="E522" s="25"/>
      <c r="F522" s="25"/>
      <c r="G522" s="25"/>
      <c r="H522" s="25"/>
    </row>
    <row r="523" ht="14.25" customHeight="1">
      <c r="A523" s="25"/>
      <c r="B523" s="25"/>
      <c r="C523" s="26"/>
      <c r="D523" s="26"/>
      <c r="E523" s="25"/>
      <c r="F523" s="25"/>
      <c r="G523" s="25"/>
      <c r="H523" s="25"/>
    </row>
    <row r="524" ht="14.25" customHeight="1">
      <c r="A524" s="25"/>
      <c r="B524" s="25"/>
      <c r="C524" s="26"/>
      <c r="D524" s="26"/>
      <c r="E524" s="25"/>
      <c r="F524" s="25"/>
      <c r="G524" s="25"/>
      <c r="H524" s="25"/>
    </row>
    <row r="525" ht="14.25" customHeight="1">
      <c r="A525" s="25"/>
      <c r="B525" s="25"/>
      <c r="C525" s="26"/>
      <c r="D525" s="26"/>
      <c r="E525" s="25"/>
      <c r="F525" s="25"/>
      <c r="G525" s="25"/>
      <c r="H525" s="25"/>
    </row>
    <row r="526" ht="14.25" customHeight="1">
      <c r="A526" s="25"/>
      <c r="B526" s="25"/>
      <c r="C526" s="26"/>
      <c r="D526" s="26"/>
      <c r="E526" s="25"/>
      <c r="F526" s="25"/>
      <c r="G526" s="25"/>
      <c r="H526" s="25"/>
    </row>
    <row r="527" ht="14.25" customHeight="1">
      <c r="A527" s="25"/>
      <c r="B527" s="25"/>
      <c r="C527" s="26"/>
      <c r="D527" s="26"/>
      <c r="E527" s="25"/>
      <c r="F527" s="25"/>
      <c r="G527" s="25"/>
      <c r="H527" s="25"/>
    </row>
    <row r="528" ht="14.25" customHeight="1">
      <c r="A528" s="25"/>
      <c r="B528" s="25"/>
      <c r="C528" s="26"/>
      <c r="D528" s="26"/>
      <c r="E528" s="25"/>
      <c r="F528" s="25"/>
      <c r="G528" s="25"/>
      <c r="H528" s="25"/>
    </row>
    <row r="529" ht="14.25" customHeight="1">
      <c r="A529" s="25"/>
      <c r="B529" s="25"/>
      <c r="C529" s="26"/>
      <c r="D529" s="26"/>
      <c r="E529" s="25"/>
      <c r="F529" s="25"/>
      <c r="G529" s="25"/>
      <c r="H529" s="25"/>
    </row>
    <row r="530" ht="14.25" customHeight="1">
      <c r="A530" s="25"/>
      <c r="B530" s="25"/>
      <c r="C530" s="26"/>
      <c r="D530" s="26"/>
      <c r="E530" s="25"/>
      <c r="F530" s="25"/>
      <c r="G530" s="25"/>
      <c r="H530" s="25"/>
    </row>
    <row r="531" ht="14.25" customHeight="1">
      <c r="A531" s="25"/>
      <c r="B531" s="25"/>
      <c r="C531" s="26"/>
      <c r="D531" s="26"/>
      <c r="E531" s="25"/>
      <c r="F531" s="25"/>
      <c r="G531" s="25"/>
      <c r="H531" s="25"/>
    </row>
    <row r="532" ht="14.25" customHeight="1">
      <c r="A532" s="25"/>
      <c r="B532" s="25"/>
      <c r="C532" s="26"/>
      <c r="D532" s="26"/>
      <c r="E532" s="25"/>
      <c r="F532" s="25"/>
      <c r="G532" s="25"/>
      <c r="H532" s="25"/>
    </row>
    <row r="533" ht="14.25" customHeight="1">
      <c r="A533" s="25"/>
      <c r="B533" s="25"/>
      <c r="C533" s="26"/>
      <c r="D533" s="26"/>
      <c r="E533" s="25"/>
      <c r="F533" s="25"/>
      <c r="G533" s="25"/>
      <c r="H533" s="25"/>
    </row>
    <row r="534" ht="14.25" customHeight="1">
      <c r="A534" s="25"/>
      <c r="B534" s="25"/>
      <c r="C534" s="26"/>
      <c r="D534" s="26"/>
      <c r="E534" s="25"/>
      <c r="F534" s="25"/>
      <c r="G534" s="25"/>
      <c r="H534" s="25"/>
    </row>
    <row r="535" ht="14.25" customHeight="1">
      <c r="A535" s="25"/>
      <c r="B535" s="25"/>
      <c r="C535" s="26"/>
      <c r="D535" s="26"/>
      <c r="E535" s="25"/>
      <c r="F535" s="25"/>
      <c r="G535" s="25"/>
      <c r="H535" s="25"/>
    </row>
    <row r="536" ht="14.25" customHeight="1">
      <c r="A536" s="25"/>
      <c r="B536" s="25"/>
      <c r="C536" s="26"/>
      <c r="D536" s="26"/>
      <c r="E536" s="25"/>
      <c r="F536" s="25"/>
      <c r="G536" s="25"/>
      <c r="H536" s="25"/>
    </row>
    <row r="537" ht="14.25" customHeight="1">
      <c r="A537" s="25"/>
      <c r="B537" s="25"/>
      <c r="C537" s="26"/>
      <c r="D537" s="26"/>
      <c r="E537" s="25"/>
      <c r="F537" s="25"/>
      <c r="G537" s="25"/>
      <c r="H537" s="25"/>
    </row>
    <row r="538" ht="14.25" customHeight="1">
      <c r="A538" s="25"/>
      <c r="B538" s="25"/>
      <c r="C538" s="26"/>
      <c r="D538" s="26"/>
      <c r="E538" s="25"/>
      <c r="F538" s="25"/>
      <c r="G538" s="25"/>
      <c r="H538" s="25"/>
    </row>
    <row r="539" ht="14.25" customHeight="1">
      <c r="A539" s="25"/>
      <c r="B539" s="25"/>
      <c r="C539" s="26"/>
      <c r="D539" s="26"/>
      <c r="E539" s="25"/>
      <c r="F539" s="25"/>
      <c r="G539" s="25"/>
      <c r="H539" s="25"/>
    </row>
    <row r="540" ht="14.25" customHeight="1">
      <c r="A540" s="25"/>
      <c r="B540" s="25"/>
      <c r="C540" s="26"/>
      <c r="D540" s="26"/>
      <c r="E540" s="25"/>
      <c r="F540" s="25"/>
      <c r="G540" s="25"/>
      <c r="H540" s="25"/>
    </row>
    <row r="541" ht="14.25" customHeight="1">
      <c r="A541" s="25"/>
      <c r="B541" s="25"/>
      <c r="C541" s="26"/>
      <c r="D541" s="26"/>
      <c r="E541" s="25"/>
      <c r="F541" s="25"/>
      <c r="G541" s="25"/>
      <c r="H541" s="25"/>
    </row>
    <row r="542" ht="14.25" customHeight="1">
      <c r="A542" s="25"/>
      <c r="B542" s="25"/>
      <c r="C542" s="26"/>
      <c r="D542" s="26"/>
      <c r="E542" s="25"/>
      <c r="F542" s="25"/>
      <c r="G542" s="25"/>
      <c r="H542" s="25"/>
    </row>
    <row r="543" ht="14.25" customHeight="1">
      <c r="A543" s="25"/>
      <c r="B543" s="25"/>
      <c r="C543" s="26"/>
      <c r="D543" s="26"/>
      <c r="E543" s="25"/>
      <c r="F543" s="25"/>
      <c r="G543" s="25"/>
      <c r="H543" s="25"/>
    </row>
    <row r="544" ht="14.25" customHeight="1">
      <c r="A544" s="25"/>
      <c r="B544" s="25"/>
      <c r="C544" s="26"/>
      <c r="D544" s="26"/>
      <c r="E544" s="25"/>
      <c r="F544" s="25"/>
      <c r="G544" s="25"/>
      <c r="H544" s="25"/>
    </row>
    <row r="545" ht="14.25" customHeight="1">
      <c r="A545" s="25"/>
      <c r="B545" s="25"/>
      <c r="C545" s="26"/>
      <c r="D545" s="26"/>
      <c r="E545" s="25"/>
      <c r="F545" s="25"/>
      <c r="G545" s="25"/>
      <c r="H545" s="25"/>
    </row>
    <row r="546" ht="14.25" customHeight="1">
      <c r="A546" s="25"/>
      <c r="B546" s="25"/>
      <c r="C546" s="26"/>
      <c r="D546" s="26"/>
      <c r="E546" s="25"/>
      <c r="F546" s="25"/>
      <c r="G546" s="25"/>
      <c r="H546" s="25"/>
    </row>
    <row r="547" ht="14.25" customHeight="1">
      <c r="A547" s="25"/>
      <c r="B547" s="25"/>
      <c r="C547" s="26"/>
      <c r="D547" s="26"/>
      <c r="E547" s="25"/>
      <c r="F547" s="25"/>
      <c r="G547" s="25"/>
      <c r="H547" s="25"/>
    </row>
    <row r="548" ht="14.25" customHeight="1">
      <c r="A548" s="25"/>
      <c r="B548" s="25"/>
      <c r="C548" s="26"/>
      <c r="D548" s="26"/>
      <c r="E548" s="25"/>
      <c r="F548" s="25"/>
      <c r="G548" s="25"/>
      <c r="H548" s="25"/>
    </row>
    <row r="549" ht="14.25" customHeight="1">
      <c r="A549" s="25"/>
      <c r="B549" s="25"/>
      <c r="C549" s="26"/>
      <c r="D549" s="26"/>
      <c r="E549" s="25"/>
      <c r="F549" s="25"/>
      <c r="G549" s="25"/>
      <c r="H549" s="25"/>
    </row>
    <row r="550" ht="14.25" customHeight="1">
      <c r="A550" s="25"/>
      <c r="B550" s="25"/>
      <c r="C550" s="26"/>
      <c r="D550" s="26"/>
      <c r="E550" s="25"/>
      <c r="F550" s="25"/>
      <c r="G550" s="25"/>
      <c r="H550" s="25"/>
    </row>
    <row r="551" ht="14.25" customHeight="1">
      <c r="A551" s="25"/>
      <c r="B551" s="25"/>
      <c r="C551" s="26"/>
      <c r="D551" s="26"/>
      <c r="E551" s="25"/>
      <c r="F551" s="25"/>
      <c r="G551" s="25"/>
      <c r="H551" s="25"/>
    </row>
    <row r="552" ht="14.25" customHeight="1">
      <c r="A552" s="25"/>
      <c r="B552" s="25"/>
      <c r="C552" s="26"/>
      <c r="D552" s="26"/>
      <c r="E552" s="25"/>
      <c r="F552" s="25"/>
      <c r="G552" s="25"/>
      <c r="H552" s="25"/>
    </row>
    <row r="553" ht="14.25" customHeight="1">
      <c r="A553" s="25"/>
      <c r="B553" s="25"/>
      <c r="C553" s="26"/>
      <c r="D553" s="26"/>
      <c r="E553" s="25"/>
      <c r="F553" s="25"/>
      <c r="G553" s="25"/>
      <c r="H553" s="25"/>
    </row>
    <row r="554" ht="14.25" customHeight="1">
      <c r="A554" s="25"/>
      <c r="B554" s="25"/>
      <c r="C554" s="26"/>
      <c r="D554" s="26"/>
      <c r="E554" s="25"/>
      <c r="F554" s="25"/>
      <c r="G554" s="25"/>
      <c r="H554" s="25"/>
    </row>
    <row r="555" ht="14.25" customHeight="1">
      <c r="A555" s="25"/>
      <c r="B555" s="25"/>
      <c r="C555" s="26"/>
      <c r="D555" s="26"/>
      <c r="E555" s="25"/>
      <c r="F555" s="25"/>
      <c r="G555" s="25"/>
      <c r="H555" s="25"/>
    </row>
    <row r="556" ht="14.25" customHeight="1">
      <c r="A556" s="25"/>
      <c r="B556" s="25"/>
      <c r="C556" s="26"/>
      <c r="D556" s="26"/>
      <c r="E556" s="25"/>
      <c r="F556" s="25"/>
      <c r="G556" s="25"/>
      <c r="H556" s="25"/>
    </row>
    <row r="557" ht="14.25" customHeight="1">
      <c r="A557" s="25"/>
      <c r="B557" s="25"/>
      <c r="C557" s="26"/>
      <c r="D557" s="26"/>
      <c r="E557" s="25"/>
      <c r="F557" s="25"/>
      <c r="G557" s="25"/>
      <c r="H557" s="25"/>
    </row>
    <row r="558" ht="14.25" customHeight="1">
      <c r="A558" s="25"/>
      <c r="B558" s="25"/>
      <c r="C558" s="26"/>
      <c r="D558" s="26"/>
      <c r="E558" s="25"/>
      <c r="F558" s="25"/>
      <c r="G558" s="25"/>
      <c r="H558" s="25"/>
    </row>
    <row r="559" ht="14.25" customHeight="1">
      <c r="A559" s="25"/>
      <c r="B559" s="25"/>
      <c r="C559" s="26"/>
      <c r="D559" s="26"/>
      <c r="E559" s="25"/>
      <c r="F559" s="25"/>
      <c r="G559" s="25"/>
      <c r="H559" s="25"/>
    </row>
    <row r="560" ht="14.25" customHeight="1">
      <c r="A560" s="25"/>
      <c r="B560" s="25"/>
      <c r="C560" s="26"/>
      <c r="D560" s="26"/>
      <c r="E560" s="25"/>
      <c r="F560" s="25"/>
      <c r="G560" s="25"/>
      <c r="H560" s="25"/>
    </row>
    <row r="561" ht="14.25" customHeight="1">
      <c r="A561" s="25"/>
      <c r="B561" s="25"/>
      <c r="C561" s="26"/>
      <c r="D561" s="26"/>
      <c r="E561" s="25"/>
      <c r="F561" s="25"/>
      <c r="G561" s="25"/>
      <c r="H561" s="25"/>
    </row>
    <row r="562" ht="14.25" customHeight="1">
      <c r="A562" s="25"/>
      <c r="B562" s="25"/>
      <c r="C562" s="26"/>
      <c r="D562" s="26"/>
      <c r="E562" s="25"/>
      <c r="F562" s="25"/>
      <c r="G562" s="25"/>
      <c r="H562" s="25"/>
    </row>
    <row r="563" ht="14.25" customHeight="1">
      <c r="A563" s="25"/>
      <c r="B563" s="25"/>
      <c r="C563" s="26"/>
      <c r="D563" s="26"/>
      <c r="E563" s="25"/>
      <c r="F563" s="25"/>
      <c r="G563" s="25"/>
      <c r="H563" s="25"/>
    </row>
    <row r="564" ht="14.25" customHeight="1">
      <c r="A564" s="25"/>
      <c r="B564" s="25"/>
      <c r="C564" s="26"/>
      <c r="D564" s="26"/>
      <c r="E564" s="25"/>
      <c r="F564" s="25"/>
      <c r="G564" s="25"/>
      <c r="H564" s="25"/>
    </row>
    <row r="565" ht="14.25" customHeight="1">
      <c r="A565" s="25"/>
      <c r="B565" s="25"/>
      <c r="C565" s="26"/>
      <c r="D565" s="26"/>
      <c r="E565" s="25"/>
      <c r="F565" s="25"/>
      <c r="G565" s="25"/>
      <c r="H565" s="25"/>
    </row>
    <row r="566" ht="14.25" customHeight="1">
      <c r="A566" s="25"/>
      <c r="B566" s="25"/>
      <c r="C566" s="26"/>
      <c r="D566" s="26"/>
      <c r="E566" s="25"/>
      <c r="F566" s="25"/>
      <c r="G566" s="25"/>
      <c r="H566" s="25"/>
    </row>
    <row r="567" ht="14.25" customHeight="1">
      <c r="A567" s="25"/>
      <c r="B567" s="25"/>
      <c r="C567" s="26"/>
      <c r="D567" s="26"/>
      <c r="E567" s="25"/>
      <c r="F567" s="25"/>
      <c r="G567" s="25"/>
      <c r="H567" s="25"/>
    </row>
    <row r="568" ht="14.25" customHeight="1">
      <c r="A568" s="25"/>
      <c r="B568" s="25"/>
      <c r="C568" s="26"/>
      <c r="D568" s="26"/>
      <c r="E568" s="25"/>
      <c r="F568" s="25"/>
      <c r="G568" s="25"/>
      <c r="H568" s="25"/>
    </row>
    <row r="569" ht="14.25" customHeight="1">
      <c r="A569" s="25"/>
      <c r="B569" s="25"/>
      <c r="C569" s="26"/>
      <c r="D569" s="26"/>
      <c r="E569" s="25"/>
      <c r="F569" s="25"/>
      <c r="G569" s="25"/>
      <c r="H569" s="25"/>
    </row>
    <row r="570" ht="14.25" customHeight="1">
      <c r="A570" s="25"/>
      <c r="B570" s="25"/>
      <c r="C570" s="26"/>
      <c r="D570" s="26"/>
      <c r="E570" s="25"/>
      <c r="F570" s="25"/>
      <c r="G570" s="25"/>
      <c r="H570" s="25"/>
    </row>
    <row r="571" ht="14.25" customHeight="1">
      <c r="A571" s="25"/>
      <c r="B571" s="25"/>
      <c r="C571" s="26"/>
      <c r="D571" s="26"/>
      <c r="E571" s="25"/>
      <c r="F571" s="25"/>
      <c r="G571" s="25"/>
      <c r="H571" s="25"/>
    </row>
    <row r="572" ht="14.25" customHeight="1">
      <c r="A572" s="25"/>
      <c r="B572" s="25"/>
      <c r="C572" s="26"/>
      <c r="D572" s="26"/>
      <c r="E572" s="25"/>
      <c r="F572" s="25"/>
      <c r="G572" s="25"/>
      <c r="H572" s="25"/>
    </row>
    <row r="573" ht="14.25" customHeight="1">
      <c r="A573" s="25"/>
      <c r="B573" s="25"/>
      <c r="C573" s="26"/>
      <c r="D573" s="26"/>
      <c r="E573" s="25"/>
      <c r="F573" s="25"/>
      <c r="G573" s="25"/>
      <c r="H573" s="25"/>
    </row>
    <row r="574" ht="14.25" customHeight="1">
      <c r="A574" s="25"/>
      <c r="B574" s="25"/>
      <c r="C574" s="26"/>
      <c r="D574" s="26"/>
      <c r="E574" s="25"/>
      <c r="F574" s="25"/>
      <c r="G574" s="25"/>
      <c r="H574" s="25"/>
    </row>
    <row r="575" ht="14.25" customHeight="1">
      <c r="A575" s="25"/>
      <c r="B575" s="25"/>
      <c r="C575" s="26"/>
      <c r="D575" s="26"/>
      <c r="E575" s="25"/>
      <c r="F575" s="25"/>
      <c r="G575" s="25"/>
      <c r="H575" s="25"/>
    </row>
    <row r="576" ht="14.25" customHeight="1">
      <c r="A576" s="25"/>
      <c r="B576" s="25"/>
      <c r="C576" s="26"/>
      <c r="D576" s="26"/>
      <c r="E576" s="25"/>
      <c r="F576" s="25"/>
      <c r="G576" s="25"/>
      <c r="H576" s="25"/>
    </row>
    <row r="577" ht="14.25" customHeight="1">
      <c r="A577" s="25"/>
      <c r="B577" s="25"/>
      <c r="C577" s="26"/>
      <c r="D577" s="26"/>
      <c r="E577" s="25"/>
      <c r="F577" s="25"/>
      <c r="G577" s="25"/>
      <c r="H577" s="25"/>
    </row>
    <row r="578" ht="14.25" customHeight="1">
      <c r="A578" s="25"/>
      <c r="B578" s="25"/>
      <c r="C578" s="26"/>
      <c r="D578" s="26"/>
      <c r="E578" s="25"/>
      <c r="F578" s="25"/>
      <c r="G578" s="25"/>
      <c r="H578" s="25"/>
    </row>
    <row r="579" ht="14.25" customHeight="1">
      <c r="A579" s="25"/>
      <c r="B579" s="25"/>
      <c r="C579" s="26"/>
      <c r="D579" s="26"/>
      <c r="E579" s="25"/>
      <c r="F579" s="25"/>
      <c r="G579" s="25"/>
      <c r="H579" s="25"/>
    </row>
    <row r="580" ht="14.25" customHeight="1">
      <c r="A580" s="25"/>
      <c r="B580" s="25"/>
      <c r="C580" s="26"/>
      <c r="D580" s="26"/>
      <c r="E580" s="25"/>
      <c r="F580" s="25"/>
      <c r="G580" s="25"/>
      <c r="H580" s="25"/>
    </row>
    <row r="581" ht="14.25" customHeight="1">
      <c r="A581" s="25"/>
      <c r="B581" s="25"/>
      <c r="C581" s="26"/>
      <c r="D581" s="26"/>
      <c r="E581" s="25"/>
      <c r="F581" s="25"/>
      <c r="G581" s="25"/>
      <c r="H581" s="25"/>
    </row>
    <row r="582" ht="14.25" customHeight="1">
      <c r="A582" s="25"/>
      <c r="B582" s="25"/>
      <c r="C582" s="26"/>
      <c r="D582" s="26"/>
      <c r="E582" s="25"/>
      <c r="F582" s="25"/>
      <c r="G582" s="25"/>
      <c r="H582" s="25"/>
    </row>
    <row r="583" ht="14.25" customHeight="1">
      <c r="A583" s="25"/>
      <c r="B583" s="25"/>
      <c r="C583" s="26"/>
      <c r="D583" s="26"/>
      <c r="E583" s="25"/>
      <c r="F583" s="25"/>
      <c r="G583" s="25"/>
      <c r="H583" s="25"/>
    </row>
    <row r="584" ht="14.25" customHeight="1">
      <c r="A584" s="25"/>
      <c r="B584" s="25"/>
      <c r="C584" s="26"/>
      <c r="D584" s="26"/>
      <c r="E584" s="25"/>
      <c r="F584" s="25"/>
      <c r="G584" s="25"/>
      <c r="H584" s="25"/>
    </row>
    <row r="585" ht="14.25" customHeight="1">
      <c r="A585" s="25"/>
      <c r="B585" s="25"/>
      <c r="C585" s="26"/>
      <c r="D585" s="26"/>
      <c r="E585" s="25"/>
      <c r="F585" s="25"/>
      <c r="G585" s="25"/>
      <c r="H585" s="25"/>
    </row>
    <row r="586" ht="14.25" customHeight="1">
      <c r="A586" s="25"/>
      <c r="B586" s="25"/>
      <c r="C586" s="26"/>
      <c r="D586" s="26"/>
      <c r="E586" s="25"/>
      <c r="F586" s="25"/>
      <c r="G586" s="25"/>
      <c r="H586" s="25"/>
    </row>
    <row r="587" ht="14.25" customHeight="1">
      <c r="A587" s="25"/>
      <c r="B587" s="25"/>
      <c r="C587" s="26"/>
      <c r="D587" s="26"/>
      <c r="E587" s="25"/>
      <c r="F587" s="25"/>
      <c r="G587" s="25"/>
      <c r="H587" s="25"/>
    </row>
    <row r="588" ht="14.25" customHeight="1">
      <c r="A588" s="25"/>
      <c r="B588" s="25"/>
      <c r="C588" s="26"/>
      <c r="D588" s="26"/>
      <c r="E588" s="25"/>
      <c r="F588" s="25"/>
      <c r="G588" s="25"/>
      <c r="H588" s="25"/>
    </row>
    <row r="589" ht="14.25" customHeight="1">
      <c r="A589" s="25"/>
      <c r="B589" s="25"/>
      <c r="C589" s="26"/>
      <c r="D589" s="26"/>
      <c r="E589" s="25"/>
      <c r="F589" s="25"/>
      <c r="G589" s="25"/>
      <c r="H589" s="25"/>
    </row>
    <row r="590" ht="14.25" customHeight="1">
      <c r="A590" s="25"/>
      <c r="B590" s="25"/>
      <c r="C590" s="26"/>
      <c r="D590" s="26"/>
      <c r="E590" s="25"/>
      <c r="F590" s="25"/>
      <c r="G590" s="25"/>
      <c r="H590" s="25"/>
    </row>
    <row r="591" ht="14.25" customHeight="1">
      <c r="A591" s="25"/>
      <c r="B591" s="25"/>
      <c r="C591" s="26"/>
      <c r="D591" s="26"/>
      <c r="E591" s="25"/>
      <c r="F591" s="25"/>
      <c r="G591" s="25"/>
      <c r="H591" s="25"/>
    </row>
    <row r="592" ht="14.25" customHeight="1">
      <c r="A592" s="25"/>
      <c r="B592" s="25"/>
      <c r="C592" s="26"/>
      <c r="D592" s="26"/>
      <c r="E592" s="25"/>
      <c r="F592" s="25"/>
      <c r="G592" s="25"/>
      <c r="H592" s="25"/>
    </row>
    <row r="593" ht="14.25" customHeight="1">
      <c r="A593" s="25"/>
      <c r="B593" s="25"/>
      <c r="C593" s="26"/>
      <c r="D593" s="26"/>
      <c r="E593" s="25"/>
      <c r="F593" s="25"/>
      <c r="G593" s="25"/>
      <c r="H593" s="25"/>
    </row>
    <row r="594" ht="14.25" customHeight="1">
      <c r="A594" s="25"/>
      <c r="B594" s="25"/>
      <c r="C594" s="26"/>
      <c r="D594" s="26"/>
      <c r="E594" s="25"/>
      <c r="F594" s="25"/>
      <c r="G594" s="25"/>
      <c r="H594" s="25"/>
    </row>
    <row r="595" ht="14.25" customHeight="1">
      <c r="A595" s="25"/>
      <c r="B595" s="25"/>
      <c r="C595" s="26"/>
      <c r="D595" s="26"/>
      <c r="E595" s="25"/>
      <c r="F595" s="25"/>
      <c r="G595" s="25"/>
      <c r="H595" s="25"/>
    </row>
    <row r="596" ht="14.25" customHeight="1">
      <c r="A596" s="25"/>
      <c r="B596" s="25"/>
      <c r="C596" s="26"/>
      <c r="D596" s="26"/>
      <c r="E596" s="25"/>
      <c r="F596" s="25"/>
      <c r="G596" s="25"/>
      <c r="H596" s="25"/>
    </row>
    <row r="597" ht="14.25" customHeight="1">
      <c r="A597" s="25"/>
      <c r="B597" s="25"/>
      <c r="C597" s="26"/>
      <c r="D597" s="26"/>
      <c r="E597" s="25"/>
      <c r="F597" s="25"/>
      <c r="G597" s="25"/>
      <c r="H597" s="25"/>
    </row>
    <row r="598" ht="14.25" customHeight="1">
      <c r="A598" s="25"/>
      <c r="B598" s="25"/>
      <c r="C598" s="26"/>
      <c r="D598" s="26"/>
      <c r="E598" s="25"/>
      <c r="F598" s="25"/>
      <c r="G598" s="25"/>
      <c r="H598" s="25"/>
    </row>
    <row r="599" ht="14.25" customHeight="1">
      <c r="A599" s="25"/>
      <c r="B599" s="25"/>
      <c r="C599" s="26"/>
      <c r="D599" s="26"/>
      <c r="E599" s="25"/>
      <c r="F599" s="25"/>
      <c r="G599" s="25"/>
      <c r="H599" s="25"/>
    </row>
    <row r="600" ht="14.25" customHeight="1">
      <c r="A600" s="25"/>
      <c r="B600" s="25"/>
      <c r="C600" s="26"/>
      <c r="D600" s="26"/>
      <c r="E600" s="25"/>
      <c r="F600" s="25"/>
      <c r="G600" s="25"/>
      <c r="H600" s="25"/>
    </row>
    <row r="601" ht="14.25" customHeight="1">
      <c r="A601" s="25"/>
      <c r="B601" s="25"/>
      <c r="C601" s="26"/>
      <c r="D601" s="26"/>
      <c r="E601" s="25"/>
      <c r="F601" s="25"/>
      <c r="G601" s="25"/>
      <c r="H601" s="25"/>
    </row>
    <row r="602" ht="14.25" customHeight="1">
      <c r="A602" s="25"/>
      <c r="B602" s="25"/>
      <c r="C602" s="26"/>
      <c r="D602" s="26"/>
      <c r="E602" s="25"/>
      <c r="F602" s="25"/>
      <c r="G602" s="25"/>
      <c r="H602" s="25"/>
    </row>
    <row r="603" ht="14.25" customHeight="1">
      <c r="A603" s="25"/>
      <c r="B603" s="25"/>
      <c r="C603" s="26"/>
      <c r="D603" s="26"/>
      <c r="E603" s="25"/>
      <c r="F603" s="25"/>
      <c r="G603" s="25"/>
      <c r="H603" s="25"/>
    </row>
    <row r="604" ht="14.25" customHeight="1">
      <c r="A604" s="25"/>
      <c r="B604" s="25"/>
      <c r="C604" s="26"/>
      <c r="D604" s="26"/>
      <c r="E604" s="25"/>
      <c r="F604" s="25"/>
      <c r="G604" s="25"/>
      <c r="H604" s="25"/>
    </row>
    <row r="605" ht="14.25" customHeight="1">
      <c r="A605" s="25"/>
      <c r="B605" s="25"/>
      <c r="C605" s="26"/>
      <c r="D605" s="26"/>
      <c r="E605" s="25"/>
      <c r="F605" s="25"/>
      <c r="G605" s="25"/>
      <c r="H605" s="25"/>
    </row>
    <row r="606" ht="14.25" customHeight="1">
      <c r="A606" s="25"/>
      <c r="B606" s="25"/>
      <c r="C606" s="26"/>
      <c r="D606" s="26"/>
      <c r="E606" s="25"/>
      <c r="F606" s="25"/>
      <c r="G606" s="25"/>
      <c r="H606" s="25"/>
    </row>
    <row r="607" ht="14.25" customHeight="1">
      <c r="A607" s="25"/>
      <c r="B607" s="25"/>
      <c r="C607" s="26"/>
      <c r="D607" s="26"/>
      <c r="E607" s="25"/>
      <c r="F607" s="25"/>
      <c r="G607" s="25"/>
      <c r="H607" s="25"/>
    </row>
    <row r="608" ht="14.25" customHeight="1">
      <c r="A608" s="25"/>
      <c r="B608" s="25"/>
      <c r="C608" s="26"/>
      <c r="D608" s="26"/>
      <c r="E608" s="25"/>
      <c r="F608" s="25"/>
      <c r="G608" s="25"/>
      <c r="H608" s="25"/>
    </row>
    <row r="609" ht="14.25" customHeight="1">
      <c r="A609" s="25"/>
      <c r="B609" s="25"/>
      <c r="C609" s="26"/>
      <c r="D609" s="26"/>
      <c r="E609" s="25"/>
      <c r="F609" s="25"/>
      <c r="G609" s="25"/>
      <c r="H609" s="25"/>
    </row>
    <row r="610" ht="14.25" customHeight="1">
      <c r="A610" s="25"/>
      <c r="B610" s="25"/>
      <c r="C610" s="26"/>
      <c r="D610" s="26"/>
      <c r="E610" s="25"/>
      <c r="F610" s="25"/>
      <c r="G610" s="25"/>
      <c r="H610" s="25"/>
    </row>
    <row r="611" ht="14.25" customHeight="1">
      <c r="A611" s="25"/>
      <c r="B611" s="25"/>
      <c r="C611" s="26"/>
      <c r="D611" s="26"/>
      <c r="E611" s="25"/>
      <c r="F611" s="25"/>
      <c r="G611" s="25"/>
      <c r="H611" s="25"/>
    </row>
    <row r="612" ht="14.25" customHeight="1">
      <c r="A612" s="25"/>
      <c r="B612" s="25"/>
      <c r="C612" s="26"/>
      <c r="D612" s="26"/>
      <c r="E612" s="25"/>
      <c r="F612" s="25"/>
      <c r="G612" s="25"/>
      <c r="H612" s="25"/>
    </row>
    <row r="613" ht="14.25" customHeight="1">
      <c r="A613" s="25"/>
      <c r="B613" s="25"/>
      <c r="C613" s="26"/>
      <c r="D613" s="26"/>
      <c r="E613" s="25"/>
      <c r="F613" s="25"/>
      <c r="G613" s="25"/>
      <c r="H613" s="25"/>
    </row>
    <row r="614" ht="14.25" customHeight="1">
      <c r="A614" s="25"/>
      <c r="B614" s="25"/>
      <c r="C614" s="26"/>
      <c r="D614" s="26"/>
      <c r="E614" s="25"/>
      <c r="F614" s="25"/>
      <c r="G614" s="25"/>
      <c r="H614" s="25"/>
    </row>
    <row r="615" ht="14.25" customHeight="1">
      <c r="A615" s="25"/>
      <c r="B615" s="25"/>
      <c r="C615" s="26"/>
      <c r="D615" s="26"/>
      <c r="E615" s="25"/>
      <c r="F615" s="25"/>
      <c r="G615" s="25"/>
      <c r="H615" s="25"/>
    </row>
    <row r="616" ht="14.25" customHeight="1">
      <c r="A616" s="25"/>
      <c r="B616" s="25"/>
      <c r="C616" s="26"/>
      <c r="D616" s="26"/>
      <c r="E616" s="25"/>
      <c r="F616" s="25"/>
      <c r="G616" s="25"/>
      <c r="H616" s="25"/>
    </row>
    <row r="617" ht="14.25" customHeight="1">
      <c r="A617" s="25"/>
      <c r="B617" s="25"/>
      <c r="C617" s="26"/>
      <c r="D617" s="26"/>
      <c r="E617" s="25"/>
      <c r="F617" s="25"/>
      <c r="G617" s="25"/>
      <c r="H617" s="25"/>
    </row>
    <row r="618" ht="14.25" customHeight="1">
      <c r="A618" s="25"/>
      <c r="B618" s="25"/>
      <c r="C618" s="26"/>
      <c r="D618" s="26"/>
      <c r="E618" s="25"/>
      <c r="F618" s="25"/>
      <c r="G618" s="25"/>
      <c r="H618" s="25"/>
    </row>
    <row r="619" ht="14.25" customHeight="1">
      <c r="A619" s="25"/>
      <c r="B619" s="25"/>
      <c r="C619" s="26"/>
      <c r="D619" s="26"/>
      <c r="E619" s="25"/>
      <c r="F619" s="25"/>
      <c r="G619" s="25"/>
      <c r="H619" s="25"/>
    </row>
    <row r="620" ht="14.25" customHeight="1">
      <c r="A620" s="25"/>
      <c r="B620" s="25"/>
      <c r="C620" s="26"/>
      <c r="D620" s="26"/>
      <c r="E620" s="25"/>
      <c r="F620" s="25"/>
      <c r="G620" s="25"/>
      <c r="H620" s="25"/>
    </row>
    <row r="621" ht="14.25" customHeight="1">
      <c r="A621" s="25"/>
      <c r="B621" s="25"/>
      <c r="C621" s="26"/>
      <c r="D621" s="26"/>
      <c r="E621" s="25"/>
      <c r="F621" s="25"/>
      <c r="G621" s="25"/>
      <c r="H621" s="25"/>
    </row>
    <row r="622" ht="14.25" customHeight="1">
      <c r="A622" s="25"/>
      <c r="B622" s="25"/>
      <c r="C622" s="26"/>
      <c r="D622" s="26"/>
      <c r="E622" s="25"/>
      <c r="F622" s="25"/>
      <c r="G622" s="25"/>
      <c r="H622" s="25"/>
    </row>
    <row r="623" ht="14.25" customHeight="1">
      <c r="A623" s="25"/>
      <c r="B623" s="25"/>
      <c r="C623" s="26"/>
      <c r="D623" s="26"/>
      <c r="E623" s="25"/>
      <c r="F623" s="25"/>
      <c r="G623" s="25"/>
      <c r="H623" s="25"/>
    </row>
    <row r="624" ht="14.25" customHeight="1">
      <c r="A624" s="25"/>
      <c r="B624" s="25"/>
      <c r="C624" s="26"/>
      <c r="D624" s="26"/>
      <c r="E624" s="25"/>
      <c r="F624" s="25"/>
      <c r="G624" s="25"/>
      <c r="H624" s="25"/>
    </row>
    <row r="625" ht="14.25" customHeight="1">
      <c r="A625" s="25"/>
      <c r="B625" s="25"/>
      <c r="C625" s="26"/>
      <c r="D625" s="26"/>
      <c r="E625" s="25"/>
      <c r="F625" s="25"/>
      <c r="G625" s="25"/>
      <c r="H625" s="25"/>
    </row>
    <row r="626" ht="14.25" customHeight="1">
      <c r="A626" s="25"/>
      <c r="B626" s="25"/>
      <c r="C626" s="26"/>
      <c r="D626" s="26"/>
      <c r="E626" s="25"/>
      <c r="F626" s="25"/>
      <c r="G626" s="25"/>
      <c r="H626" s="25"/>
    </row>
    <row r="627" ht="14.25" customHeight="1">
      <c r="A627" s="25"/>
      <c r="B627" s="25"/>
      <c r="C627" s="26"/>
      <c r="D627" s="26"/>
      <c r="E627" s="25"/>
      <c r="F627" s="25"/>
      <c r="G627" s="25"/>
      <c r="H627" s="25"/>
    </row>
    <row r="628" ht="14.25" customHeight="1">
      <c r="A628" s="25"/>
      <c r="B628" s="25"/>
      <c r="C628" s="26"/>
      <c r="D628" s="26"/>
      <c r="E628" s="25"/>
      <c r="F628" s="25"/>
      <c r="G628" s="25"/>
      <c r="H628" s="25"/>
    </row>
    <row r="629" ht="14.25" customHeight="1">
      <c r="A629" s="25"/>
      <c r="B629" s="25"/>
      <c r="C629" s="26"/>
      <c r="D629" s="26"/>
      <c r="E629" s="25"/>
      <c r="F629" s="25"/>
      <c r="G629" s="25"/>
      <c r="H629" s="25"/>
    </row>
    <row r="630" ht="14.25" customHeight="1">
      <c r="A630" s="25"/>
      <c r="B630" s="25"/>
      <c r="C630" s="26"/>
      <c r="D630" s="26"/>
      <c r="E630" s="25"/>
      <c r="F630" s="25"/>
      <c r="G630" s="25"/>
      <c r="H630" s="25"/>
    </row>
    <row r="631" ht="14.25" customHeight="1">
      <c r="A631" s="25"/>
      <c r="B631" s="25"/>
      <c r="C631" s="26"/>
      <c r="D631" s="26"/>
      <c r="E631" s="25"/>
      <c r="F631" s="25"/>
      <c r="G631" s="25"/>
      <c r="H631" s="25"/>
    </row>
    <row r="632" ht="14.25" customHeight="1">
      <c r="A632" s="25"/>
      <c r="B632" s="25"/>
      <c r="C632" s="26"/>
      <c r="D632" s="26"/>
      <c r="E632" s="25"/>
      <c r="F632" s="25"/>
      <c r="G632" s="25"/>
      <c r="H632" s="25"/>
    </row>
    <row r="633" ht="14.25" customHeight="1">
      <c r="A633" s="25"/>
      <c r="B633" s="25"/>
      <c r="C633" s="26"/>
      <c r="D633" s="26"/>
      <c r="E633" s="25"/>
      <c r="F633" s="25"/>
      <c r="G633" s="25"/>
      <c r="H633" s="25"/>
    </row>
    <row r="634" ht="14.25" customHeight="1">
      <c r="A634" s="25"/>
      <c r="B634" s="25"/>
      <c r="C634" s="26"/>
      <c r="D634" s="26"/>
      <c r="E634" s="25"/>
      <c r="F634" s="25"/>
      <c r="G634" s="25"/>
      <c r="H634" s="25"/>
    </row>
    <row r="635" ht="14.25" customHeight="1">
      <c r="A635" s="25"/>
      <c r="B635" s="25"/>
      <c r="C635" s="26"/>
      <c r="D635" s="26"/>
      <c r="E635" s="25"/>
      <c r="F635" s="25"/>
      <c r="G635" s="25"/>
      <c r="H635" s="25"/>
    </row>
    <row r="636" ht="14.25" customHeight="1">
      <c r="A636" s="25"/>
      <c r="B636" s="25"/>
      <c r="C636" s="26"/>
      <c r="D636" s="26"/>
      <c r="E636" s="25"/>
      <c r="F636" s="25"/>
      <c r="G636" s="25"/>
      <c r="H636" s="25"/>
    </row>
    <row r="637" ht="14.25" customHeight="1">
      <c r="A637" s="25"/>
      <c r="B637" s="25"/>
      <c r="C637" s="26"/>
      <c r="D637" s="26"/>
      <c r="E637" s="25"/>
      <c r="F637" s="25"/>
      <c r="G637" s="25"/>
      <c r="H637" s="25"/>
    </row>
    <row r="638" ht="14.25" customHeight="1">
      <c r="A638" s="25"/>
      <c r="B638" s="25"/>
      <c r="C638" s="26"/>
      <c r="D638" s="26"/>
      <c r="E638" s="25"/>
      <c r="F638" s="25"/>
      <c r="G638" s="25"/>
      <c r="H638" s="25"/>
    </row>
    <row r="639" ht="14.25" customHeight="1">
      <c r="A639" s="25"/>
      <c r="B639" s="25"/>
      <c r="C639" s="26"/>
      <c r="D639" s="26"/>
      <c r="E639" s="25"/>
      <c r="F639" s="25"/>
      <c r="G639" s="25"/>
      <c r="H639" s="25"/>
    </row>
    <row r="640" ht="14.25" customHeight="1">
      <c r="A640" s="25"/>
      <c r="B640" s="25"/>
      <c r="C640" s="26"/>
      <c r="D640" s="26"/>
      <c r="E640" s="25"/>
      <c r="F640" s="25"/>
      <c r="G640" s="25"/>
      <c r="H640" s="25"/>
    </row>
    <row r="641" ht="14.25" customHeight="1">
      <c r="A641" s="25"/>
      <c r="B641" s="25"/>
      <c r="C641" s="26"/>
      <c r="D641" s="26"/>
      <c r="E641" s="25"/>
      <c r="F641" s="25"/>
      <c r="G641" s="25"/>
      <c r="H641" s="25"/>
    </row>
    <row r="642" ht="14.25" customHeight="1">
      <c r="A642" s="25"/>
      <c r="B642" s="25"/>
      <c r="C642" s="26"/>
      <c r="D642" s="26"/>
      <c r="E642" s="25"/>
      <c r="F642" s="25"/>
      <c r="G642" s="25"/>
      <c r="H642" s="25"/>
    </row>
    <row r="643" ht="14.25" customHeight="1">
      <c r="A643" s="25"/>
      <c r="B643" s="25"/>
      <c r="C643" s="26"/>
      <c r="D643" s="26"/>
      <c r="E643" s="25"/>
      <c r="F643" s="25"/>
      <c r="G643" s="25"/>
      <c r="H643" s="25"/>
    </row>
    <row r="644" ht="14.25" customHeight="1">
      <c r="A644" s="25"/>
      <c r="B644" s="25"/>
      <c r="C644" s="26"/>
      <c r="D644" s="26"/>
      <c r="E644" s="25"/>
      <c r="F644" s="25"/>
      <c r="G644" s="25"/>
      <c r="H644" s="25"/>
    </row>
    <row r="645" ht="14.25" customHeight="1">
      <c r="A645" s="25"/>
      <c r="B645" s="25"/>
      <c r="C645" s="26"/>
      <c r="D645" s="26"/>
      <c r="E645" s="25"/>
      <c r="F645" s="25"/>
      <c r="G645" s="25"/>
      <c r="H645" s="25"/>
    </row>
    <row r="646" ht="14.25" customHeight="1">
      <c r="A646" s="25"/>
      <c r="B646" s="25"/>
      <c r="C646" s="26"/>
      <c r="D646" s="26"/>
      <c r="E646" s="25"/>
      <c r="F646" s="25"/>
      <c r="G646" s="25"/>
      <c r="H646" s="25"/>
    </row>
    <row r="647" ht="14.25" customHeight="1">
      <c r="A647" s="25"/>
      <c r="B647" s="25"/>
      <c r="C647" s="26"/>
      <c r="D647" s="26"/>
      <c r="E647" s="25"/>
      <c r="F647" s="25"/>
      <c r="G647" s="25"/>
      <c r="H647" s="25"/>
    </row>
    <row r="648" ht="14.25" customHeight="1">
      <c r="A648" s="25"/>
      <c r="B648" s="25"/>
      <c r="C648" s="26"/>
      <c r="D648" s="26"/>
      <c r="E648" s="25"/>
      <c r="F648" s="25"/>
      <c r="G648" s="25"/>
      <c r="H648" s="25"/>
    </row>
    <row r="649" ht="14.25" customHeight="1">
      <c r="A649" s="25"/>
      <c r="B649" s="25"/>
      <c r="C649" s="26"/>
      <c r="D649" s="26"/>
      <c r="E649" s="25"/>
      <c r="F649" s="25"/>
      <c r="G649" s="25"/>
      <c r="H649" s="25"/>
    </row>
    <row r="650" ht="14.25" customHeight="1">
      <c r="A650" s="25"/>
      <c r="B650" s="25"/>
      <c r="C650" s="26"/>
      <c r="D650" s="26"/>
      <c r="E650" s="25"/>
      <c r="F650" s="25"/>
      <c r="G650" s="25"/>
      <c r="H650" s="25"/>
    </row>
    <row r="651" ht="14.25" customHeight="1">
      <c r="A651" s="25"/>
      <c r="B651" s="25"/>
      <c r="C651" s="26"/>
      <c r="D651" s="26"/>
      <c r="E651" s="25"/>
      <c r="F651" s="25"/>
      <c r="G651" s="25"/>
      <c r="H651" s="25"/>
    </row>
    <row r="652" ht="14.25" customHeight="1">
      <c r="A652" s="25"/>
      <c r="B652" s="25"/>
      <c r="C652" s="26"/>
      <c r="D652" s="26"/>
      <c r="E652" s="25"/>
      <c r="F652" s="25"/>
      <c r="G652" s="25"/>
      <c r="H652" s="25"/>
    </row>
    <row r="653" ht="14.25" customHeight="1">
      <c r="A653" s="25"/>
      <c r="B653" s="25"/>
      <c r="C653" s="26"/>
      <c r="D653" s="26"/>
      <c r="E653" s="25"/>
      <c r="F653" s="25"/>
      <c r="G653" s="25"/>
      <c r="H653" s="25"/>
    </row>
    <row r="654" ht="14.25" customHeight="1">
      <c r="A654" s="25"/>
      <c r="B654" s="25"/>
      <c r="C654" s="26"/>
      <c r="D654" s="26"/>
      <c r="E654" s="25"/>
      <c r="F654" s="25"/>
      <c r="G654" s="25"/>
      <c r="H654" s="25"/>
    </row>
    <row r="655" ht="14.25" customHeight="1">
      <c r="A655" s="25"/>
      <c r="B655" s="25"/>
      <c r="C655" s="26"/>
      <c r="D655" s="26"/>
      <c r="E655" s="25"/>
      <c r="F655" s="25"/>
      <c r="G655" s="25"/>
      <c r="H655" s="25"/>
    </row>
    <row r="656" ht="14.25" customHeight="1">
      <c r="A656" s="25"/>
      <c r="B656" s="25"/>
      <c r="C656" s="26"/>
      <c r="D656" s="26"/>
      <c r="E656" s="25"/>
      <c r="F656" s="25"/>
      <c r="G656" s="25"/>
      <c r="H656" s="25"/>
    </row>
    <row r="657" ht="14.25" customHeight="1">
      <c r="A657" s="25"/>
      <c r="B657" s="25"/>
      <c r="C657" s="26"/>
      <c r="D657" s="26"/>
      <c r="E657" s="25"/>
      <c r="F657" s="25"/>
      <c r="G657" s="25"/>
      <c r="H657" s="25"/>
    </row>
    <row r="658" ht="14.25" customHeight="1">
      <c r="A658" s="25"/>
      <c r="B658" s="25"/>
      <c r="C658" s="26"/>
      <c r="D658" s="26"/>
      <c r="E658" s="25"/>
      <c r="F658" s="25"/>
      <c r="G658" s="25"/>
      <c r="H658" s="25"/>
    </row>
    <row r="659" ht="14.25" customHeight="1">
      <c r="A659" s="25"/>
      <c r="B659" s="25"/>
      <c r="C659" s="26"/>
      <c r="D659" s="26"/>
      <c r="E659" s="25"/>
      <c r="F659" s="25"/>
      <c r="G659" s="25"/>
      <c r="H659" s="25"/>
    </row>
    <row r="660" ht="14.25" customHeight="1">
      <c r="A660" s="25"/>
      <c r="B660" s="25"/>
      <c r="C660" s="26"/>
      <c r="D660" s="26"/>
      <c r="E660" s="25"/>
      <c r="F660" s="25"/>
      <c r="G660" s="25"/>
      <c r="H660" s="25"/>
    </row>
    <row r="661" ht="14.25" customHeight="1">
      <c r="A661" s="25"/>
      <c r="B661" s="25"/>
      <c r="C661" s="26"/>
      <c r="D661" s="26"/>
      <c r="E661" s="25"/>
      <c r="F661" s="25"/>
      <c r="G661" s="25"/>
      <c r="H661" s="25"/>
    </row>
    <row r="662" ht="14.25" customHeight="1">
      <c r="A662" s="25"/>
      <c r="B662" s="25"/>
      <c r="C662" s="26"/>
      <c r="D662" s="26"/>
      <c r="E662" s="25"/>
      <c r="F662" s="25"/>
      <c r="G662" s="25"/>
      <c r="H662" s="25"/>
    </row>
    <row r="663" ht="14.25" customHeight="1">
      <c r="A663" s="25"/>
      <c r="B663" s="25"/>
      <c r="C663" s="26"/>
      <c r="D663" s="26"/>
      <c r="E663" s="25"/>
      <c r="F663" s="25"/>
      <c r="G663" s="25"/>
      <c r="H663" s="25"/>
    </row>
    <row r="664" ht="14.25" customHeight="1">
      <c r="A664" s="25"/>
      <c r="B664" s="25"/>
      <c r="C664" s="26"/>
      <c r="D664" s="26"/>
      <c r="E664" s="25"/>
      <c r="F664" s="25"/>
      <c r="G664" s="25"/>
      <c r="H664" s="25"/>
    </row>
    <row r="665" ht="14.25" customHeight="1">
      <c r="A665" s="25"/>
      <c r="B665" s="25"/>
      <c r="C665" s="26"/>
      <c r="D665" s="26"/>
      <c r="E665" s="25"/>
      <c r="F665" s="25"/>
      <c r="G665" s="25"/>
      <c r="H665" s="25"/>
    </row>
    <row r="666" ht="14.25" customHeight="1">
      <c r="A666" s="25"/>
      <c r="B666" s="25"/>
      <c r="C666" s="26"/>
      <c r="D666" s="26"/>
      <c r="E666" s="25"/>
      <c r="F666" s="25"/>
      <c r="G666" s="25"/>
      <c r="H666" s="25"/>
    </row>
    <row r="667" ht="14.25" customHeight="1">
      <c r="A667" s="25"/>
      <c r="B667" s="25"/>
      <c r="C667" s="26"/>
      <c r="D667" s="26"/>
      <c r="E667" s="25"/>
      <c r="F667" s="25"/>
      <c r="G667" s="25"/>
      <c r="H667" s="25"/>
    </row>
    <row r="668" ht="14.25" customHeight="1">
      <c r="A668" s="25"/>
      <c r="B668" s="25"/>
      <c r="C668" s="26"/>
      <c r="D668" s="26"/>
      <c r="E668" s="25"/>
      <c r="F668" s="25"/>
      <c r="G668" s="25"/>
      <c r="H668" s="25"/>
    </row>
    <row r="669" ht="14.25" customHeight="1">
      <c r="A669" s="25"/>
      <c r="B669" s="25"/>
      <c r="C669" s="26"/>
      <c r="D669" s="26"/>
      <c r="E669" s="25"/>
      <c r="F669" s="25"/>
      <c r="G669" s="25"/>
      <c r="H669" s="25"/>
    </row>
    <row r="670" ht="14.25" customHeight="1">
      <c r="A670" s="25"/>
      <c r="B670" s="25"/>
      <c r="C670" s="26"/>
      <c r="D670" s="26"/>
      <c r="E670" s="25"/>
      <c r="F670" s="25"/>
      <c r="G670" s="25"/>
      <c r="H670" s="25"/>
    </row>
    <row r="671" ht="14.25" customHeight="1">
      <c r="A671" s="25"/>
      <c r="B671" s="25"/>
      <c r="C671" s="26"/>
      <c r="D671" s="26"/>
      <c r="E671" s="25"/>
      <c r="F671" s="25"/>
      <c r="G671" s="25"/>
      <c r="H671" s="25"/>
    </row>
    <row r="672" ht="14.25" customHeight="1">
      <c r="A672" s="25"/>
      <c r="B672" s="25"/>
      <c r="C672" s="26"/>
      <c r="D672" s="26"/>
      <c r="E672" s="25"/>
      <c r="F672" s="25"/>
      <c r="G672" s="25"/>
      <c r="H672" s="25"/>
    </row>
    <row r="673" ht="14.25" customHeight="1">
      <c r="A673" s="25"/>
      <c r="B673" s="25"/>
      <c r="C673" s="26"/>
      <c r="D673" s="26"/>
      <c r="E673" s="25"/>
      <c r="F673" s="25"/>
      <c r="G673" s="25"/>
      <c r="H673" s="25"/>
    </row>
    <row r="674" ht="14.25" customHeight="1">
      <c r="A674" s="25"/>
      <c r="B674" s="25"/>
      <c r="C674" s="26"/>
      <c r="D674" s="26"/>
      <c r="E674" s="25"/>
      <c r="F674" s="25"/>
      <c r="G674" s="25"/>
      <c r="H674" s="25"/>
    </row>
    <row r="675" ht="14.25" customHeight="1">
      <c r="A675" s="25"/>
      <c r="B675" s="25"/>
      <c r="C675" s="26"/>
      <c r="D675" s="26"/>
      <c r="E675" s="25"/>
      <c r="F675" s="25"/>
      <c r="G675" s="25"/>
      <c r="H675" s="25"/>
    </row>
    <row r="676" ht="14.25" customHeight="1">
      <c r="A676" s="25"/>
      <c r="B676" s="25"/>
      <c r="C676" s="26"/>
      <c r="D676" s="26"/>
      <c r="E676" s="25"/>
      <c r="F676" s="25"/>
      <c r="G676" s="25"/>
      <c r="H676" s="25"/>
    </row>
    <row r="677" ht="14.25" customHeight="1">
      <c r="A677" s="25"/>
      <c r="B677" s="25"/>
      <c r="C677" s="26"/>
      <c r="D677" s="26"/>
      <c r="E677" s="25"/>
      <c r="F677" s="25"/>
      <c r="G677" s="25"/>
      <c r="H677" s="25"/>
    </row>
    <row r="678" ht="14.25" customHeight="1">
      <c r="A678" s="25"/>
      <c r="B678" s="25"/>
      <c r="C678" s="26"/>
      <c r="D678" s="26"/>
      <c r="E678" s="25"/>
      <c r="F678" s="25"/>
      <c r="G678" s="25"/>
      <c r="H678" s="25"/>
    </row>
    <row r="679" ht="14.25" customHeight="1">
      <c r="A679" s="25"/>
      <c r="B679" s="25"/>
      <c r="C679" s="26"/>
      <c r="D679" s="26"/>
      <c r="E679" s="25"/>
      <c r="F679" s="25"/>
      <c r="G679" s="25"/>
      <c r="H679" s="25"/>
    </row>
    <row r="680" ht="14.25" customHeight="1">
      <c r="A680" s="25"/>
      <c r="B680" s="25"/>
      <c r="C680" s="26"/>
      <c r="D680" s="26"/>
      <c r="E680" s="25"/>
      <c r="F680" s="25"/>
      <c r="G680" s="25"/>
      <c r="H680" s="25"/>
    </row>
    <row r="681" ht="14.25" customHeight="1">
      <c r="A681" s="25"/>
      <c r="B681" s="25"/>
      <c r="C681" s="26"/>
      <c r="D681" s="26"/>
      <c r="E681" s="25"/>
      <c r="F681" s="25"/>
      <c r="G681" s="25"/>
      <c r="H681" s="25"/>
    </row>
    <row r="682" ht="14.25" customHeight="1">
      <c r="A682" s="25"/>
      <c r="B682" s="25"/>
      <c r="C682" s="26"/>
      <c r="D682" s="26"/>
      <c r="E682" s="25"/>
      <c r="F682" s="25"/>
      <c r="G682" s="25"/>
      <c r="H682" s="25"/>
    </row>
    <row r="683" ht="14.25" customHeight="1">
      <c r="A683" s="25"/>
      <c r="B683" s="25"/>
      <c r="C683" s="26"/>
      <c r="D683" s="26"/>
      <c r="E683" s="25"/>
      <c r="F683" s="25"/>
      <c r="G683" s="25"/>
      <c r="H683" s="25"/>
    </row>
    <row r="684" ht="14.25" customHeight="1">
      <c r="A684" s="25"/>
      <c r="B684" s="25"/>
      <c r="C684" s="26"/>
      <c r="D684" s="26"/>
      <c r="E684" s="25"/>
      <c r="F684" s="25"/>
      <c r="G684" s="25"/>
      <c r="H684" s="25"/>
    </row>
    <row r="685" ht="14.25" customHeight="1">
      <c r="A685" s="25"/>
      <c r="B685" s="25"/>
      <c r="C685" s="26"/>
      <c r="D685" s="26"/>
      <c r="E685" s="25"/>
      <c r="F685" s="25"/>
      <c r="G685" s="25"/>
      <c r="H685" s="25"/>
    </row>
    <row r="686" ht="14.25" customHeight="1">
      <c r="A686" s="25"/>
      <c r="B686" s="25"/>
      <c r="C686" s="26"/>
      <c r="D686" s="26"/>
      <c r="E686" s="25"/>
      <c r="F686" s="25"/>
      <c r="G686" s="25"/>
      <c r="H686" s="25"/>
    </row>
    <row r="687" ht="14.25" customHeight="1">
      <c r="A687" s="25"/>
      <c r="B687" s="25"/>
      <c r="C687" s="26"/>
      <c r="D687" s="26"/>
      <c r="E687" s="25"/>
      <c r="F687" s="25"/>
      <c r="G687" s="25"/>
      <c r="H687" s="25"/>
    </row>
    <row r="688" ht="14.25" customHeight="1">
      <c r="A688" s="25"/>
      <c r="B688" s="25"/>
      <c r="C688" s="26"/>
      <c r="D688" s="26"/>
      <c r="E688" s="25"/>
      <c r="F688" s="25"/>
      <c r="G688" s="25"/>
      <c r="H688" s="25"/>
    </row>
    <row r="689" ht="14.25" customHeight="1">
      <c r="A689" s="25"/>
      <c r="B689" s="25"/>
      <c r="C689" s="26"/>
      <c r="D689" s="26"/>
      <c r="E689" s="25"/>
      <c r="F689" s="25"/>
      <c r="G689" s="25"/>
      <c r="H689" s="25"/>
    </row>
    <row r="690" ht="14.25" customHeight="1">
      <c r="A690" s="25"/>
      <c r="B690" s="25"/>
      <c r="C690" s="26"/>
      <c r="D690" s="26"/>
      <c r="E690" s="25"/>
      <c r="F690" s="25"/>
      <c r="G690" s="25"/>
      <c r="H690" s="25"/>
    </row>
    <row r="691" ht="14.25" customHeight="1">
      <c r="A691" s="25"/>
      <c r="B691" s="25"/>
      <c r="C691" s="26"/>
      <c r="D691" s="26"/>
      <c r="E691" s="25"/>
      <c r="F691" s="25"/>
      <c r="G691" s="25"/>
      <c r="H691" s="25"/>
    </row>
    <row r="692" ht="14.25" customHeight="1">
      <c r="A692" s="25"/>
      <c r="B692" s="25"/>
      <c r="C692" s="26"/>
      <c r="D692" s="26"/>
      <c r="E692" s="25"/>
      <c r="F692" s="25"/>
      <c r="G692" s="25"/>
      <c r="H692" s="25"/>
    </row>
    <row r="693" ht="14.25" customHeight="1">
      <c r="A693" s="25"/>
      <c r="B693" s="25"/>
      <c r="C693" s="26"/>
      <c r="D693" s="26"/>
      <c r="E693" s="25"/>
      <c r="F693" s="25"/>
      <c r="G693" s="25"/>
      <c r="H693" s="25"/>
    </row>
    <row r="694" ht="14.25" customHeight="1">
      <c r="A694" s="25"/>
      <c r="B694" s="25"/>
      <c r="C694" s="26"/>
      <c r="D694" s="26"/>
      <c r="E694" s="25"/>
      <c r="F694" s="25"/>
      <c r="G694" s="25"/>
      <c r="H694" s="25"/>
    </row>
    <row r="695" ht="14.25" customHeight="1">
      <c r="A695" s="25"/>
      <c r="B695" s="25"/>
      <c r="C695" s="26"/>
      <c r="D695" s="26"/>
      <c r="E695" s="25"/>
      <c r="F695" s="25"/>
      <c r="G695" s="25"/>
      <c r="H695" s="25"/>
    </row>
    <row r="696" ht="14.25" customHeight="1">
      <c r="A696" s="25"/>
      <c r="B696" s="25"/>
      <c r="C696" s="26"/>
      <c r="D696" s="26"/>
      <c r="E696" s="25"/>
      <c r="F696" s="25"/>
      <c r="G696" s="25"/>
      <c r="H696" s="25"/>
    </row>
    <row r="697" ht="14.25" customHeight="1">
      <c r="A697" s="25"/>
      <c r="B697" s="25"/>
      <c r="C697" s="26"/>
      <c r="D697" s="26"/>
      <c r="E697" s="25"/>
      <c r="F697" s="25"/>
      <c r="G697" s="25"/>
      <c r="H697" s="25"/>
    </row>
    <row r="698" ht="14.25" customHeight="1">
      <c r="A698" s="25"/>
      <c r="B698" s="25"/>
      <c r="C698" s="26"/>
      <c r="D698" s="26"/>
      <c r="E698" s="25"/>
      <c r="F698" s="25"/>
      <c r="G698" s="25"/>
      <c r="H698" s="25"/>
    </row>
    <row r="699" ht="14.25" customHeight="1">
      <c r="A699" s="25"/>
      <c r="B699" s="25"/>
      <c r="C699" s="26"/>
      <c r="D699" s="26"/>
      <c r="E699" s="25"/>
      <c r="F699" s="25"/>
      <c r="G699" s="25"/>
      <c r="H699" s="25"/>
    </row>
    <row r="700" ht="14.25" customHeight="1">
      <c r="A700" s="25"/>
      <c r="B700" s="25"/>
      <c r="C700" s="26"/>
      <c r="D700" s="26"/>
      <c r="E700" s="25"/>
      <c r="F700" s="25"/>
      <c r="G700" s="25"/>
      <c r="H700" s="25"/>
    </row>
    <row r="701" ht="14.25" customHeight="1">
      <c r="A701" s="25"/>
      <c r="B701" s="25"/>
      <c r="C701" s="26"/>
      <c r="D701" s="26"/>
      <c r="E701" s="25"/>
      <c r="F701" s="25"/>
      <c r="G701" s="25"/>
      <c r="H701" s="25"/>
    </row>
    <row r="702" ht="14.25" customHeight="1">
      <c r="A702" s="25"/>
      <c r="B702" s="25"/>
      <c r="C702" s="26"/>
      <c r="D702" s="26"/>
      <c r="E702" s="25"/>
      <c r="F702" s="25"/>
      <c r="G702" s="25"/>
      <c r="H702" s="25"/>
    </row>
    <row r="703" ht="14.25" customHeight="1">
      <c r="A703" s="25"/>
      <c r="B703" s="25"/>
      <c r="C703" s="26"/>
      <c r="D703" s="26"/>
      <c r="E703" s="25"/>
      <c r="F703" s="25"/>
      <c r="G703" s="25"/>
      <c r="H703" s="25"/>
    </row>
    <row r="704" ht="14.25" customHeight="1">
      <c r="A704" s="25"/>
      <c r="B704" s="25"/>
      <c r="C704" s="26"/>
      <c r="D704" s="26"/>
      <c r="E704" s="25"/>
      <c r="F704" s="25"/>
      <c r="G704" s="25"/>
      <c r="H704" s="25"/>
    </row>
    <row r="705" ht="14.25" customHeight="1">
      <c r="A705" s="25"/>
      <c r="B705" s="25"/>
      <c r="C705" s="26"/>
      <c r="D705" s="26"/>
      <c r="E705" s="25"/>
      <c r="F705" s="25"/>
      <c r="G705" s="25"/>
      <c r="H705" s="25"/>
    </row>
    <row r="706" ht="14.25" customHeight="1">
      <c r="A706" s="25"/>
      <c r="B706" s="25"/>
      <c r="C706" s="26"/>
      <c r="D706" s="26"/>
      <c r="E706" s="25"/>
      <c r="F706" s="25"/>
      <c r="G706" s="25"/>
      <c r="H706" s="25"/>
    </row>
    <row r="707" ht="14.25" customHeight="1">
      <c r="A707" s="25"/>
      <c r="B707" s="25"/>
      <c r="C707" s="26"/>
      <c r="D707" s="26"/>
      <c r="E707" s="25"/>
      <c r="F707" s="25"/>
      <c r="G707" s="25"/>
      <c r="H707" s="25"/>
    </row>
    <row r="708" ht="14.25" customHeight="1">
      <c r="A708" s="25"/>
      <c r="B708" s="25"/>
      <c r="C708" s="26"/>
      <c r="D708" s="26"/>
      <c r="E708" s="25"/>
      <c r="F708" s="25"/>
      <c r="G708" s="25"/>
      <c r="H708" s="25"/>
    </row>
    <row r="709" ht="14.25" customHeight="1">
      <c r="A709" s="25"/>
      <c r="B709" s="25"/>
      <c r="C709" s="26"/>
      <c r="D709" s="26"/>
      <c r="E709" s="25"/>
      <c r="F709" s="25"/>
      <c r="G709" s="25"/>
      <c r="H709" s="25"/>
    </row>
    <row r="710" ht="14.25" customHeight="1">
      <c r="A710" s="25"/>
      <c r="B710" s="25"/>
      <c r="C710" s="26"/>
      <c r="D710" s="26"/>
      <c r="E710" s="25"/>
      <c r="F710" s="25"/>
      <c r="G710" s="25"/>
      <c r="H710" s="25"/>
    </row>
    <row r="711" ht="14.25" customHeight="1">
      <c r="A711" s="25"/>
      <c r="B711" s="25"/>
      <c r="C711" s="26"/>
      <c r="D711" s="26"/>
      <c r="E711" s="25"/>
      <c r="F711" s="25"/>
      <c r="G711" s="25"/>
      <c r="H711" s="25"/>
    </row>
    <row r="712" ht="14.25" customHeight="1">
      <c r="A712" s="25"/>
      <c r="B712" s="25"/>
      <c r="C712" s="26"/>
      <c r="D712" s="26"/>
      <c r="E712" s="25"/>
      <c r="F712" s="25"/>
      <c r="G712" s="25"/>
      <c r="H712" s="25"/>
    </row>
    <row r="713" ht="14.25" customHeight="1">
      <c r="A713" s="25"/>
      <c r="B713" s="25"/>
      <c r="C713" s="26"/>
      <c r="D713" s="26"/>
      <c r="E713" s="25"/>
      <c r="F713" s="25"/>
      <c r="G713" s="25"/>
      <c r="H713" s="25"/>
    </row>
    <row r="714" ht="14.25" customHeight="1">
      <c r="A714" s="25"/>
      <c r="B714" s="25"/>
      <c r="C714" s="26"/>
      <c r="D714" s="26"/>
      <c r="E714" s="25"/>
      <c r="F714" s="25"/>
      <c r="G714" s="25"/>
      <c r="H714" s="25"/>
    </row>
    <row r="715" ht="14.25" customHeight="1">
      <c r="A715" s="25"/>
      <c r="B715" s="25"/>
      <c r="C715" s="26"/>
      <c r="D715" s="26"/>
      <c r="E715" s="25"/>
      <c r="F715" s="25"/>
      <c r="G715" s="25"/>
      <c r="H715" s="25"/>
    </row>
    <row r="716" ht="14.25" customHeight="1">
      <c r="A716" s="25"/>
      <c r="B716" s="25"/>
      <c r="C716" s="26"/>
      <c r="D716" s="26"/>
      <c r="E716" s="25"/>
      <c r="F716" s="25"/>
      <c r="G716" s="25"/>
      <c r="H716" s="25"/>
    </row>
    <row r="717" ht="14.25" customHeight="1">
      <c r="A717" s="25"/>
      <c r="B717" s="25"/>
      <c r="C717" s="26"/>
      <c r="D717" s="26"/>
      <c r="E717" s="25"/>
      <c r="F717" s="25"/>
      <c r="G717" s="25"/>
      <c r="H717" s="25"/>
    </row>
    <row r="718" ht="14.25" customHeight="1">
      <c r="A718" s="25"/>
      <c r="B718" s="25"/>
      <c r="C718" s="26"/>
      <c r="D718" s="26"/>
      <c r="E718" s="25"/>
      <c r="F718" s="25"/>
      <c r="G718" s="25"/>
      <c r="H718" s="25"/>
    </row>
    <row r="719" ht="14.25" customHeight="1">
      <c r="A719" s="25"/>
      <c r="B719" s="25"/>
      <c r="C719" s="26"/>
      <c r="D719" s="26"/>
      <c r="E719" s="25"/>
      <c r="F719" s="25"/>
      <c r="G719" s="25"/>
      <c r="H719" s="25"/>
    </row>
    <row r="720" ht="14.25" customHeight="1">
      <c r="A720" s="25"/>
      <c r="B720" s="25"/>
      <c r="C720" s="26"/>
      <c r="D720" s="26"/>
      <c r="E720" s="25"/>
      <c r="F720" s="25"/>
      <c r="G720" s="25"/>
      <c r="H720" s="25"/>
    </row>
    <row r="721" ht="14.25" customHeight="1">
      <c r="A721" s="25"/>
      <c r="B721" s="25"/>
      <c r="C721" s="26"/>
      <c r="D721" s="26"/>
      <c r="E721" s="25"/>
      <c r="F721" s="25"/>
      <c r="G721" s="25"/>
      <c r="H721" s="25"/>
    </row>
    <row r="722" ht="14.25" customHeight="1">
      <c r="A722" s="25"/>
      <c r="B722" s="25"/>
      <c r="C722" s="26"/>
      <c r="D722" s="26"/>
      <c r="E722" s="25"/>
      <c r="F722" s="25"/>
      <c r="G722" s="25"/>
      <c r="H722" s="25"/>
    </row>
    <row r="723" ht="14.25" customHeight="1">
      <c r="A723" s="25"/>
      <c r="B723" s="25"/>
      <c r="C723" s="26"/>
      <c r="D723" s="26"/>
      <c r="E723" s="25"/>
      <c r="F723" s="25"/>
      <c r="G723" s="25"/>
      <c r="H723" s="25"/>
    </row>
    <row r="724" ht="14.25" customHeight="1">
      <c r="A724" s="25"/>
      <c r="B724" s="25"/>
      <c r="C724" s="26"/>
      <c r="D724" s="26"/>
      <c r="E724" s="25"/>
      <c r="F724" s="25"/>
      <c r="G724" s="25"/>
      <c r="H724" s="25"/>
    </row>
    <row r="725" ht="14.25" customHeight="1">
      <c r="A725" s="25"/>
      <c r="B725" s="25"/>
      <c r="C725" s="26"/>
      <c r="D725" s="26"/>
      <c r="E725" s="25"/>
      <c r="F725" s="25"/>
      <c r="G725" s="25"/>
      <c r="H725" s="25"/>
    </row>
    <row r="726" ht="14.25" customHeight="1">
      <c r="A726" s="25"/>
      <c r="B726" s="25"/>
      <c r="C726" s="26"/>
      <c r="D726" s="26"/>
      <c r="E726" s="25"/>
      <c r="F726" s="25"/>
      <c r="G726" s="25"/>
      <c r="H726" s="25"/>
    </row>
    <row r="727" ht="14.25" customHeight="1">
      <c r="A727" s="25"/>
      <c r="B727" s="25"/>
      <c r="C727" s="26"/>
      <c r="D727" s="26"/>
      <c r="E727" s="25"/>
      <c r="F727" s="25"/>
      <c r="G727" s="25"/>
      <c r="H727" s="25"/>
    </row>
    <row r="728" ht="14.25" customHeight="1">
      <c r="A728" s="25"/>
      <c r="B728" s="25"/>
      <c r="C728" s="26"/>
      <c r="D728" s="26"/>
      <c r="E728" s="25"/>
      <c r="F728" s="25"/>
      <c r="G728" s="25"/>
      <c r="H728" s="25"/>
    </row>
    <row r="729" ht="14.25" customHeight="1">
      <c r="A729" s="25"/>
      <c r="B729" s="25"/>
      <c r="C729" s="26"/>
      <c r="D729" s="26"/>
      <c r="E729" s="25"/>
      <c r="F729" s="25"/>
      <c r="G729" s="25"/>
      <c r="H729" s="25"/>
    </row>
    <row r="730" ht="14.25" customHeight="1">
      <c r="A730" s="25"/>
      <c r="B730" s="25"/>
      <c r="C730" s="26"/>
      <c r="D730" s="26"/>
      <c r="E730" s="25"/>
      <c r="F730" s="25"/>
      <c r="G730" s="25"/>
      <c r="H730" s="25"/>
    </row>
    <row r="731" ht="14.25" customHeight="1">
      <c r="A731" s="25"/>
      <c r="B731" s="25"/>
      <c r="C731" s="26"/>
      <c r="D731" s="26"/>
      <c r="E731" s="25"/>
      <c r="F731" s="25"/>
      <c r="G731" s="25"/>
      <c r="H731" s="25"/>
    </row>
    <row r="732" ht="14.25" customHeight="1">
      <c r="A732" s="25"/>
      <c r="B732" s="25"/>
      <c r="C732" s="26"/>
      <c r="D732" s="26"/>
      <c r="E732" s="25"/>
      <c r="F732" s="25"/>
      <c r="G732" s="25"/>
      <c r="H732" s="25"/>
    </row>
    <row r="733" ht="14.25" customHeight="1">
      <c r="A733" s="25"/>
      <c r="B733" s="25"/>
      <c r="C733" s="26"/>
      <c r="D733" s="26"/>
      <c r="E733" s="25"/>
      <c r="F733" s="25"/>
      <c r="G733" s="25"/>
      <c r="H733" s="25"/>
    </row>
    <row r="734" ht="14.25" customHeight="1">
      <c r="A734" s="25"/>
      <c r="B734" s="25"/>
      <c r="C734" s="26"/>
      <c r="D734" s="26"/>
      <c r="E734" s="25"/>
      <c r="F734" s="25"/>
      <c r="G734" s="25"/>
      <c r="H734" s="25"/>
    </row>
    <row r="735" ht="14.25" customHeight="1">
      <c r="A735" s="25"/>
      <c r="B735" s="25"/>
      <c r="C735" s="26"/>
      <c r="D735" s="26"/>
      <c r="E735" s="25"/>
      <c r="F735" s="25"/>
      <c r="G735" s="25"/>
      <c r="H735" s="25"/>
    </row>
    <row r="736" ht="14.25" customHeight="1">
      <c r="A736" s="25"/>
      <c r="B736" s="25"/>
      <c r="C736" s="26"/>
      <c r="D736" s="26"/>
      <c r="E736" s="25"/>
      <c r="F736" s="25"/>
      <c r="G736" s="25"/>
      <c r="H736" s="25"/>
    </row>
    <row r="737" ht="14.25" customHeight="1">
      <c r="A737" s="25"/>
      <c r="B737" s="25"/>
      <c r="C737" s="26"/>
      <c r="D737" s="26"/>
      <c r="E737" s="25"/>
      <c r="F737" s="25"/>
      <c r="G737" s="25"/>
      <c r="H737" s="25"/>
    </row>
    <row r="738" ht="14.25" customHeight="1">
      <c r="A738" s="25"/>
      <c r="B738" s="25"/>
      <c r="C738" s="26"/>
      <c r="D738" s="26"/>
      <c r="E738" s="25"/>
      <c r="F738" s="25"/>
      <c r="G738" s="25"/>
      <c r="H738" s="25"/>
    </row>
    <row r="739" ht="14.25" customHeight="1">
      <c r="A739" s="25"/>
      <c r="B739" s="25"/>
      <c r="C739" s="26"/>
      <c r="D739" s="26"/>
      <c r="E739" s="25"/>
      <c r="F739" s="25"/>
      <c r="G739" s="25"/>
      <c r="H739" s="25"/>
    </row>
    <row r="740" ht="14.25" customHeight="1">
      <c r="A740" s="25"/>
      <c r="B740" s="25"/>
      <c r="C740" s="26"/>
      <c r="D740" s="26"/>
      <c r="E740" s="25"/>
      <c r="F740" s="25"/>
      <c r="G740" s="25"/>
      <c r="H740" s="25"/>
    </row>
    <row r="741" ht="14.25" customHeight="1">
      <c r="A741" s="25"/>
      <c r="B741" s="25"/>
      <c r="C741" s="26"/>
      <c r="D741" s="26"/>
      <c r="E741" s="25"/>
      <c r="F741" s="25"/>
      <c r="G741" s="25"/>
      <c r="H741" s="25"/>
    </row>
    <row r="742" ht="14.25" customHeight="1">
      <c r="A742" s="25"/>
      <c r="B742" s="25"/>
      <c r="C742" s="26"/>
      <c r="D742" s="26"/>
      <c r="E742" s="25"/>
      <c r="F742" s="25"/>
      <c r="G742" s="25"/>
      <c r="H742" s="25"/>
    </row>
    <row r="743" ht="14.25" customHeight="1">
      <c r="A743" s="25"/>
      <c r="B743" s="25"/>
      <c r="C743" s="26"/>
      <c r="D743" s="26"/>
      <c r="E743" s="25"/>
      <c r="F743" s="25"/>
      <c r="G743" s="25"/>
      <c r="H743" s="25"/>
    </row>
    <row r="744" ht="14.25" customHeight="1">
      <c r="A744" s="25"/>
      <c r="B744" s="25"/>
      <c r="C744" s="26"/>
      <c r="D744" s="26"/>
      <c r="E744" s="25"/>
      <c r="F744" s="25"/>
      <c r="G744" s="25"/>
      <c r="H744" s="25"/>
    </row>
    <row r="745" ht="14.25" customHeight="1">
      <c r="A745" s="25"/>
      <c r="B745" s="25"/>
      <c r="C745" s="26"/>
      <c r="D745" s="26"/>
      <c r="E745" s="25"/>
      <c r="F745" s="25"/>
      <c r="G745" s="25"/>
      <c r="H745" s="25"/>
    </row>
    <row r="746" ht="14.25" customHeight="1">
      <c r="A746" s="25"/>
      <c r="B746" s="25"/>
      <c r="C746" s="26"/>
      <c r="D746" s="26"/>
      <c r="E746" s="25"/>
      <c r="F746" s="25"/>
      <c r="G746" s="25"/>
      <c r="H746" s="25"/>
    </row>
    <row r="747" ht="14.25" customHeight="1">
      <c r="A747" s="25"/>
      <c r="B747" s="25"/>
      <c r="C747" s="26"/>
      <c r="D747" s="26"/>
      <c r="E747" s="25"/>
      <c r="F747" s="25"/>
      <c r="G747" s="25"/>
      <c r="H747" s="25"/>
    </row>
    <row r="748" ht="14.25" customHeight="1">
      <c r="A748" s="25"/>
      <c r="B748" s="25"/>
      <c r="C748" s="26"/>
      <c r="D748" s="26"/>
      <c r="E748" s="25"/>
      <c r="F748" s="25"/>
      <c r="G748" s="25"/>
      <c r="H748" s="25"/>
    </row>
    <row r="749" ht="14.25" customHeight="1">
      <c r="A749" s="25"/>
      <c r="B749" s="25"/>
      <c r="C749" s="26"/>
      <c r="D749" s="26"/>
      <c r="E749" s="25"/>
      <c r="F749" s="25"/>
      <c r="G749" s="25"/>
      <c r="H749" s="25"/>
    </row>
    <row r="750" ht="14.25" customHeight="1">
      <c r="A750" s="25"/>
      <c r="B750" s="25"/>
      <c r="C750" s="26"/>
      <c r="D750" s="26"/>
      <c r="E750" s="25"/>
      <c r="F750" s="25"/>
      <c r="G750" s="25"/>
      <c r="H750" s="25"/>
    </row>
    <row r="751" ht="14.25" customHeight="1">
      <c r="A751" s="25"/>
      <c r="B751" s="25"/>
      <c r="C751" s="26"/>
      <c r="D751" s="26"/>
      <c r="E751" s="25"/>
      <c r="F751" s="25"/>
      <c r="G751" s="25"/>
      <c r="H751" s="25"/>
    </row>
    <row r="752" ht="14.25" customHeight="1">
      <c r="A752" s="25"/>
      <c r="B752" s="25"/>
      <c r="C752" s="26"/>
      <c r="D752" s="26"/>
      <c r="E752" s="25"/>
      <c r="F752" s="25"/>
      <c r="G752" s="25"/>
      <c r="H752" s="25"/>
    </row>
    <row r="753" ht="14.25" customHeight="1">
      <c r="A753" s="25"/>
      <c r="B753" s="25"/>
      <c r="C753" s="26"/>
      <c r="D753" s="26"/>
      <c r="E753" s="25"/>
      <c r="F753" s="25"/>
      <c r="G753" s="25"/>
      <c r="H753" s="25"/>
    </row>
    <row r="754" ht="14.25" customHeight="1">
      <c r="A754" s="25"/>
      <c r="B754" s="25"/>
      <c r="C754" s="26"/>
      <c r="D754" s="26"/>
      <c r="E754" s="25"/>
      <c r="F754" s="25"/>
      <c r="G754" s="25"/>
      <c r="H754" s="25"/>
    </row>
    <row r="755" ht="14.25" customHeight="1">
      <c r="A755" s="25"/>
      <c r="B755" s="25"/>
      <c r="C755" s="26"/>
      <c r="D755" s="26"/>
      <c r="E755" s="25"/>
      <c r="F755" s="25"/>
      <c r="G755" s="25"/>
      <c r="H755" s="25"/>
    </row>
    <row r="756" ht="14.25" customHeight="1">
      <c r="A756" s="25"/>
      <c r="B756" s="25"/>
      <c r="C756" s="26"/>
      <c r="D756" s="26"/>
      <c r="E756" s="25"/>
      <c r="F756" s="25"/>
      <c r="G756" s="25"/>
      <c r="H756" s="25"/>
    </row>
    <row r="757" ht="14.25" customHeight="1">
      <c r="A757" s="25"/>
      <c r="B757" s="25"/>
      <c r="C757" s="26"/>
      <c r="D757" s="26"/>
      <c r="E757" s="25"/>
      <c r="F757" s="25"/>
      <c r="G757" s="25"/>
      <c r="H757" s="25"/>
    </row>
    <row r="758" ht="14.25" customHeight="1">
      <c r="A758" s="25"/>
      <c r="B758" s="25"/>
      <c r="C758" s="26"/>
      <c r="D758" s="26"/>
      <c r="E758" s="25"/>
      <c r="F758" s="25"/>
      <c r="G758" s="25"/>
      <c r="H758" s="25"/>
    </row>
    <row r="759" ht="14.25" customHeight="1">
      <c r="A759" s="25"/>
      <c r="B759" s="25"/>
      <c r="C759" s="26"/>
      <c r="D759" s="26"/>
      <c r="E759" s="25"/>
      <c r="F759" s="25"/>
      <c r="G759" s="25"/>
      <c r="H759" s="25"/>
    </row>
    <row r="760" ht="14.25" customHeight="1">
      <c r="A760" s="25"/>
      <c r="B760" s="25"/>
      <c r="C760" s="26"/>
      <c r="D760" s="26"/>
      <c r="E760" s="25"/>
      <c r="F760" s="25"/>
      <c r="G760" s="25"/>
      <c r="H760" s="25"/>
    </row>
    <row r="761" ht="14.25" customHeight="1">
      <c r="A761" s="25"/>
      <c r="B761" s="25"/>
      <c r="C761" s="26"/>
      <c r="D761" s="26"/>
      <c r="E761" s="25"/>
      <c r="F761" s="25"/>
      <c r="G761" s="25"/>
      <c r="H761" s="25"/>
    </row>
    <row r="762" ht="14.25" customHeight="1">
      <c r="A762" s="25"/>
      <c r="B762" s="25"/>
      <c r="C762" s="26"/>
      <c r="D762" s="26"/>
      <c r="E762" s="25"/>
      <c r="F762" s="25"/>
      <c r="G762" s="25"/>
      <c r="H762" s="25"/>
    </row>
    <row r="763" ht="14.25" customHeight="1">
      <c r="A763" s="25"/>
      <c r="B763" s="25"/>
      <c r="C763" s="26"/>
      <c r="D763" s="26"/>
      <c r="E763" s="25"/>
      <c r="F763" s="25"/>
      <c r="G763" s="25"/>
      <c r="H763" s="25"/>
    </row>
    <row r="764" ht="14.25" customHeight="1">
      <c r="A764" s="25"/>
      <c r="B764" s="25"/>
      <c r="C764" s="26"/>
      <c r="D764" s="26"/>
      <c r="E764" s="25"/>
      <c r="F764" s="25"/>
      <c r="G764" s="25"/>
      <c r="H764" s="25"/>
    </row>
    <row r="765" ht="14.25" customHeight="1">
      <c r="A765" s="25"/>
      <c r="B765" s="25"/>
      <c r="C765" s="26"/>
      <c r="D765" s="26"/>
      <c r="E765" s="25"/>
      <c r="F765" s="25"/>
      <c r="G765" s="25"/>
      <c r="H765" s="25"/>
    </row>
    <row r="766" ht="14.25" customHeight="1">
      <c r="A766" s="25"/>
      <c r="B766" s="25"/>
      <c r="C766" s="26"/>
      <c r="D766" s="26"/>
      <c r="E766" s="25"/>
      <c r="F766" s="25"/>
      <c r="G766" s="25"/>
      <c r="H766" s="25"/>
    </row>
    <row r="767" ht="14.25" customHeight="1">
      <c r="A767" s="25"/>
      <c r="B767" s="25"/>
      <c r="C767" s="26"/>
      <c r="D767" s="26"/>
      <c r="E767" s="25"/>
      <c r="F767" s="25"/>
      <c r="G767" s="25"/>
      <c r="H767" s="25"/>
    </row>
    <row r="768" ht="14.25" customHeight="1">
      <c r="A768" s="25"/>
      <c r="B768" s="25"/>
      <c r="C768" s="26"/>
      <c r="D768" s="26"/>
      <c r="E768" s="25"/>
      <c r="F768" s="25"/>
      <c r="G768" s="25"/>
      <c r="H768" s="25"/>
    </row>
    <row r="769" ht="14.25" customHeight="1">
      <c r="A769" s="25"/>
      <c r="B769" s="25"/>
      <c r="C769" s="26"/>
      <c r="D769" s="26"/>
      <c r="E769" s="25"/>
      <c r="F769" s="25"/>
      <c r="G769" s="25"/>
      <c r="H769" s="25"/>
    </row>
    <row r="770" ht="14.25" customHeight="1">
      <c r="A770" s="25"/>
      <c r="B770" s="25"/>
      <c r="C770" s="26"/>
      <c r="D770" s="26"/>
      <c r="E770" s="25"/>
      <c r="F770" s="25"/>
      <c r="G770" s="25"/>
      <c r="H770" s="25"/>
    </row>
    <row r="771" ht="14.25" customHeight="1">
      <c r="A771" s="25"/>
      <c r="B771" s="25"/>
      <c r="C771" s="26"/>
      <c r="D771" s="26"/>
      <c r="E771" s="25"/>
      <c r="F771" s="25"/>
      <c r="G771" s="25"/>
      <c r="H771" s="25"/>
    </row>
    <row r="772" ht="14.25" customHeight="1">
      <c r="A772" s="25"/>
      <c r="B772" s="25"/>
      <c r="C772" s="26"/>
      <c r="D772" s="26"/>
      <c r="E772" s="25"/>
      <c r="F772" s="25"/>
      <c r="G772" s="25"/>
      <c r="H772" s="25"/>
    </row>
    <row r="773" ht="14.25" customHeight="1">
      <c r="A773" s="25"/>
      <c r="B773" s="25"/>
      <c r="C773" s="26"/>
      <c r="D773" s="26"/>
      <c r="E773" s="25"/>
      <c r="F773" s="25"/>
      <c r="G773" s="25"/>
      <c r="H773" s="25"/>
    </row>
    <row r="774" ht="14.25" customHeight="1">
      <c r="A774" s="25"/>
      <c r="B774" s="25"/>
      <c r="C774" s="26"/>
      <c r="D774" s="26"/>
      <c r="E774" s="25"/>
      <c r="F774" s="25"/>
      <c r="G774" s="25"/>
      <c r="H774" s="25"/>
    </row>
    <row r="775" ht="14.25" customHeight="1">
      <c r="A775" s="25"/>
      <c r="B775" s="25"/>
      <c r="C775" s="26"/>
      <c r="D775" s="26"/>
      <c r="E775" s="25"/>
      <c r="F775" s="25"/>
      <c r="G775" s="25"/>
      <c r="H775" s="25"/>
    </row>
    <row r="776" ht="14.25" customHeight="1">
      <c r="A776" s="25"/>
      <c r="B776" s="25"/>
      <c r="C776" s="26"/>
      <c r="D776" s="26"/>
      <c r="E776" s="25"/>
      <c r="F776" s="25"/>
      <c r="G776" s="25"/>
      <c r="H776" s="25"/>
    </row>
    <row r="777" ht="14.25" customHeight="1">
      <c r="A777" s="25"/>
      <c r="B777" s="25"/>
      <c r="C777" s="26"/>
      <c r="D777" s="26"/>
      <c r="E777" s="25"/>
      <c r="F777" s="25"/>
      <c r="G777" s="25"/>
      <c r="H777" s="25"/>
    </row>
    <row r="778" ht="14.25" customHeight="1">
      <c r="A778" s="25"/>
      <c r="B778" s="25"/>
      <c r="C778" s="26"/>
      <c r="D778" s="26"/>
      <c r="E778" s="25"/>
      <c r="F778" s="25"/>
      <c r="G778" s="25"/>
      <c r="H778" s="25"/>
    </row>
    <row r="779" ht="14.25" customHeight="1">
      <c r="A779" s="25"/>
      <c r="B779" s="25"/>
      <c r="C779" s="26"/>
      <c r="D779" s="26"/>
      <c r="E779" s="25"/>
      <c r="F779" s="25"/>
      <c r="G779" s="25"/>
      <c r="H779" s="25"/>
    </row>
    <row r="780" ht="14.25" customHeight="1">
      <c r="A780" s="25"/>
      <c r="B780" s="25"/>
      <c r="C780" s="26"/>
      <c r="D780" s="26"/>
      <c r="E780" s="25"/>
      <c r="F780" s="25"/>
      <c r="G780" s="25"/>
      <c r="H780" s="25"/>
    </row>
    <row r="781" ht="14.25" customHeight="1">
      <c r="A781" s="25"/>
      <c r="B781" s="25"/>
      <c r="C781" s="26"/>
      <c r="D781" s="26"/>
      <c r="E781" s="25"/>
      <c r="F781" s="25"/>
      <c r="G781" s="25"/>
      <c r="H781" s="25"/>
    </row>
    <row r="782" ht="14.25" customHeight="1">
      <c r="A782" s="25"/>
      <c r="B782" s="25"/>
      <c r="C782" s="26"/>
      <c r="D782" s="26"/>
      <c r="E782" s="25"/>
      <c r="F782" s="25"/>
      <c r="G782" s="25"/>
      <c r="H782" s="25"/>
    </row>
    <row r="783" ht="14.25" customHeight="1">
      <c r="A783" s="25"/>
      <c r="B783" s="25"/>
      <c r="C783" s="26"/>
      <c r="D783" s="26"/>
      <c r="E783" s="25"/>
      <c r="F783" s="25"/>
      <c r="G783" s="25"/>
      <c r="H783" s="25"/>
    </row>
    <row r="784" ht="14.25" customHeight="1">
      <c r="A784" s="25"/>
      <c r="B784" s="25"/>
      <c r="C784" s="26"/>
      <c r="D784" s="26"/>
      <c r="E784" s="25"/>
      <c r="F784" s="25"/>
      <c r="G784" s="25"/>
      <c r="H784" s="25"/>
    </row>
    <row r="785" ht="14.25" customHeight="1">
      <c r="A785" s="25"/>
      <c r="B785" s="25"/>
      <c r="C785" s="26"/>
      <c r="D785" s="26"/>
      <c r="E785" s="25"/>
      <c r="F785" s="25"/>
      <c r="G785" s="25"/>
      <c r="H785" s="25"/>
    </row>
    <row r="786" ht="14.25" customHeight="1">
      <c r="A786" s="25"/>
      <c r="B786" s="25"/>
      <c r="C786" s="26"/>
      <c r="D786" s="26"/>
      <c r="E786" s="25"/>
      <c r="F786" s="25"/>
      <c r="G786" s="25"/>
      <c r="H786" s="25"/>
    </row>
    <row r="787" ht="14.25" customHeight="1">
      <c r="A787" s="25"/>
      <c r="B787" s="25"/>
      <c r="C787" s="26"/>
      <c r="D787" s="26"/>
      <c r="E787" s="25"/>
      <c r="F787" s="25"/>
      <c r="G787" s="25"/>
      <c r="H787" s="25"/>
    </row>
    <row r="788" ht="14.25" customHeight="1">
      <c r="A788" s="25"/>
      <c r="B788" s="25"/>
      <c r="C788" s="26"/>
      <c r="D788" s="26"/>
      <c r="E788" s="25"/>
      <c r="F788" s="25"/>
      <c r="G788" s="25"/>
      <c r="H788" s="25"/>
    </row>
    <row r="789" ht="14.25" customHeight="1">
      <c r="A789" s="25"/>
      <c r="B789" s="25"/>
      <c r="C789" s="26"/>
      <c r="D789" s="26"/>
      <c r="E789" s="25"/>
      <c r="F789" s="25"/>
      <c r="G789" s="25"/>
      <c r="H789" s="25"/>
    </row>
    <row r="790" ht="14.25" customHeight="1">
      <c r="A790" s="25"/>
      <c r="B790" s="25"/>
      <c r="C790" s="26"/>
      <c r="D790" s="26"/>
      <c r="E790" s="25"/>
      <c r="F790" s="25"/>
      <c r="G790" s="25"/>
      <c r="H790" s="25"/>
    </row>
    <row r="791" ht="14.25" customHeight="1">
      <c r="A791" s="25"/>
      <c r="B791" s="25"/>
      <c r="C791" s="26"/>
      <c r="D791" s="26"/>
      <c r="E791" s="25"/>
      <c r="F791" s="25"/>
      <c r="G791" s="25"/>
      <c r="H791" s="25"/>
    </row>
    <row r="792" ht="14.25" customHeight="1">
      <c r="A792" s="25"/>
      <c r="B792" s="25"/>
      <c r="C792" s="26"/>
      <c r="D792" s="26"/>
      <c r="E792" s="25"/>
      <c r="F792" s="25"/>
      <c r="G792" s="25"/>
      <c r="H792" s="25"/>
    </row>
    <row r="793" ht="14.25" customHeight="1">
      <c r="A793" s="25"/>
      <c r="B793" s="25"/>
      <c r="C793" s="26"/>
      <c r="D793" s="26"/>
      <c r="E793" s="25"/>
      <c r="F793" s="25"/>
      <c r="G793" s="25"/>
      <c r="H793" s="25"/>
    </row>
    <row r="794" ht="14.25" customHeight="1">
      <c r="A794" s="25"/>
      <c r="B794" s="25"/>
      <c r="C794" s="26"/>
      <c r="D794" s="26"/>
      <c r="E794" s="25"/>
      <c r="F794" s="25"/>
      <c r="G794" s="25"/>
      <c r="H794" s="25"/>
    </row>
    <row r="795" ht="14.25" customHeight="1">
      <c r="A795" s="25"/>
      <c r="B795" s="25"/>
      <c r="C795" s="26"/>
      <c r="D795" s="26"/>
      <c r="E795" s="25"/>
      <c r="F795" s="25"/>
      <c r="G795" s="25"/>
      <c r="H795" s="25"/>
    </row>
    <row r="796" ht="14.25" customHeight="1">
      <c r="A796" s="25"/>
      <c r="B796" s="25"/>
      <c r="C796" s="26"/>
      <c r="D796" s="26"/>
      <c r="E796" s="25"/>
      <c r="F796" s="25"/>
      <c r="G796" s="25"/>
      <c r="H796" s="25"/>
    </row>
    <row r="797" ht="14.25" customHeight="1">
      <c r="A797" s="25"/>
      <c r="B797" s="25"/>
      <c r="C797" s="26"/>
      <c r="D797" s="26"/>
      <c r="E797" s="25"/>
      <c r="F797" s="25"/>
      <c r="G797" s="25"/>
      <c r="H797" s="25"/>
    </row>
    <row r="798" ht="14.25" customHeight="1">
      <c r="A798" s="25"/>
      <c r="B798" s="25"/>
      <c r="C798" s="26"/>
      <c r="D798" s="26"/>
      <c r="E798" s="25"/>
      <c r="F798" s="25"/>
      <c r="G798" s="25"/>
      <c r="H798" s="25"/>
    </row>
    <row r="799" ht="14.25" customHeight="1">
      <c r="A799" s="25"/>
      <c r="B799" s="25"/>
      <c r="C799" s="26"/>
      <c r="D799" s="26"/>
      <c r="E799" s="25"/>
      <c r="F799" s="25"/>
      <c r="G799" s="25"/>
      <c r="H799" s="25"/>
    </row>
    <row r="800" ht="14.25" customHeight="1">
      <c r="A800" s="25"/>
      <c r="B800" s="25"/>
      <c r="C800" s="26"/>
      <c r="D800" s="26"/>
      <c r="E800" s="25"/>
      <c r="F800" s="25"/>
      <c r="G800" s="25"/>
      <c r="H800" s="25"/>
    </row>
    <row r="801" ht="14.25" customHeight="1">
      <c r="A801" s="25"/>
      <c r="B801" s="25"/>
      <c r="C801" s="26"/>
      <c r="D801" s="26"/>
      <c r="E801" s="25"/>
      <c r="F801" s="25"/>
      <c r="G801" s="25"/>
      <c r="H801" s="25"/>
    </row>
    <row r="802" ht="14.25" customHeight="1">
      <c r="A802" s="25"/>
      <c r="B802" s="25"/>
      <c r="C802" s="26"/>
      <c r="D802" s="26"/>
      <c r="E802" s="25"/>
      <c r="F802" s="25"/>
      <c r="G802" s="25"/>
      <c r="H802" s="25"/>
    </row>
    <row r="803" ht="14.25" customHeight="1">
      <c r="A803" s="25"/>
      <c r="B803" s="25"/>
      <c r="C803" s="26"/>
      <c r="D803" s="26"/>
      <c r="E803" s="25"/>
      <c r="F803" s="25"/>
      <c r="G803" s="25"/>
      <c r="H803" s="25"/>
    </row>
    <row r="804" ht="14.25" customHeight="1">
      <c r="A804" s="25"/>
      <c r="B804" s="25"/>
      <c r="C804" s="26"/>
      <c r="D804" s="26"/>
      <c r="E804" s="25"/>
      <c r="F804" s="25"/>
      <c r="G804" s="25"/>
      <c r="H804" s="25"/>
    </row>
    <row r="805" ht="14.25" customHeight="1">
      <c r="A805" s="25"/>
      <c r="B805" s="25"/>
      <c r="C805" s="26"/>
      <c r="D805" s="26"/>
      <c r="E805" s="25"/>
      <c r="F805" s="25"/>
      <c r="G805" s="25"/>
      <c r="H805" s="25"/>
    </row>
    <row r="806" ht="14.25" customHeight="1">
      <c r="A806" s="25"/>
      <c r="B806" s="25"/>
      <c r="C806" s="26"/>
      <c r="D806" s="26"/>
      <c r="E806" s="25"/>
      <c r="F806" s="25"/>
      <c r="G806" s="25"/>
      <c r="H806" s="25"/>
    </row>
    <row r="807" ht="14.25" customHeight="1">
      <c r="A807" s="25"/>
      <c r="B807" s="25"/>
      <c r="C807" s="26"/>
      <c r="D807" s="26"/>
      <c r="E807" s="25"/>
      <c r="F807" s="25"/>
      <c r="G807" s="25"/>
      <c r="H807" s="25"/>
    </row>
    <row r="808" ht="14.25" customHeight="1">
      <c r="A808" s="25"/>
      <c r="B808" s="25"/>
      <c r="C808" s="26"/>
      <c r="D808" s="26"/>
      <c r="E808" s="25"/>
      <c r="F808" s="25"/>
      <c r="G808" s="25"/>
      <c r="H808" s="25"/>
    </row>
    <row r="809" ht="14.25" customHeight="1">
      <c r="A809" s="25"/>
      <c r="B809" s="25"/>
      <c r="C809" s="26"/>
      <c r="D809" s="26"/>
      <c r="E809" s="25"/>
      <c r="F809" s="25"/>
      <c r="G809" s="25"/>
      <c r="H809" s="25"/>
    </row>
    <row r="810" ht="14.25" customHeight="1">
      <c r="A810" s="25"/>
      <c r="B810" s="25"/>
      <c r="C810" s="26"/>
      <c r="D810" s="26"/>
      <c r="E810" s="25"/>
      <c r="F810" s="25"/>
      <c r="G810" s="25"/>
      <c r="H810" s="25"/>
    </row>
    <row r="811" ht="14.25" customHeight="1">
      <c r="A811" s="25"/>
      <c r="B811" s="25"/>
      <c r="C811" s="26"/>
      <c r="D811" s="26"/>
      <c r="E811" s="25"/>
      <c r="F811" s="25"/>
      <c r="G811" s="25"/>
      <c r="H811" s="25"/>
    </row>
    <row r="812" ht="14.25" customHeight="1">
      <c r="A812" s="25"/>
      <c r="B812" s="25"/>
      <c r="C812" s="26"/>
      <c r="D812" s="26"/>
      <c r="E812" s="25"/>
      <c r="F812" s="25"/>
      <c r="G812" s="25"/>
      <c r="H812" s="25"/>
    </row>
    <row r="813" ht="14.25" customHeight="1">
      <c r="A813" s="25"/>
      <c r="B813" s="25"/>
      <c r="C813" s="26"/>
      <c r="D813" s="26"/>
      <c r="E813" s="25"/>
      <c r="F813" s="25"/>
      <c r="G813" s="25"/>
      <c r="H813" s="25"/>
    </row>
    <row r="814" ht="14.25" customHeight="1">
      <c r="A814" s="25"/>
      <c r="B814" s="25"/>
      <c r="C814" s="26"/>
      <c r="D814" s="26"/>
      <c r="E814" s="25"/>
      <c r="F814" s="25"/>
      <c r="G814" s="25"/>
      <c r="H814" s="25"/>
    </row>
    <row r="815" ht="14.25" customHeight="1">
      <c r="A815" s="25"/>
      <c r="B815" s="25"/>
      <c r="C815" s="26"/>
      <c r="D815" s="26"/>
      <c r="E815" s="25"/>
      <c r="F815" s="25"/>
      <c r="G815" s="25"/>
      <c r="H815" s="25"/>
    </row>
    <row r="816" ht="14.25" customHeight="1">
      <c r="A816" s="25"/>
      <c r="B816" s="25"/>
      <c r="C816" s="26"/>
      <c r="D816" s="26"/>
      <c r="E816" s="25"/>
      <c r="F816" s="25"/>
      <c r="G816" s="25"/>
      <c r="H816" s="25"/>
    </row>
    <row r="817" ht="14.25" customHeight="1">
      <c r="A817" s="25"/>
      <c r="B817" s="25"/>
      <c r="C817" s="26"/>
      <c r="D817" s="26"/>
      <c r="E817" s="25"/>
      <c r="F817" s="25"/>
      <c r="G817" s="25"/>
      <c r="H817" s="25"/>
    </row>
    <row r="818" ht="14.25" customHeight="1">
      <c r="A818" s="25"/>
      <c r="B818" s="25"/>
      <c r="C818" s="26"/>
      <c r="D818" s="26"/>
      <c r="E818" s="25"/>
      <c r="F818" s="25"/>
      <c r="G818" s="25"/>
      <c r="H818" s="25"/>
    </row>
    <row r="819" ht="14.25" customHeight="1">
      <c r="A819" s="25"/>
      <c r="B819" s="25"/>
      <c r="C819" s="26"/>
      <c r="D819" s="26"/>
      <c r="E819" s="25"/>
      <c r="F819" s="25"/>
      <c r="G819" s="25"/>
      <c r="H819" s="25"/>
    </row>
    <row r="820" ht="14.25" customHeight="1">
      <c r="A820" s="25"/>
      <c r="B820" s="25"/>
      <c r="C820" s="26"/>
      <c r="D820" s="26"/>
      <c r="E820" s="25"/>
      <c r="F820" s="25"/>
      <c r="G820" s="25"/>
      <c r="H820" s="25"/>
    </row>
    <row r="821" ht="14.25" customHeight="1">
      <c r="A821" s="25"/>
      <c r="B821" s="25"/>
      <c r="C821" s="26"/>
      <c r="D821" s="26"/>
      <c r="E821" s="25"/>
      <c r="F821" s="25"/>
      <c r="G821" s="25"/>
      <c r="H821" s="25"/>
    </row>
    <row r="822" ht="14.25" customHeight="1">
      <c r="A822" s="25"/>
      <c r="B822" s="25"/>
      <c r="C822" s="26"/>
      <c r="D822" s="26"/>
      <c r="E822" s="25"/>
      <c r="F822" s="25"/>
      <c r="G822" s="25"/>
      <c r="H822" s="25"/>
    </row>
    <row r="823" ht="14.25" customHeight="1">
      <c r="A823" s="25"/>
      <c r="B823" s="25"/>
      <c r="C823" s="26"/>
      <c r="D823" s="26"/>
      <c r="E823" s="25"/>
      <c r="F823" s="25"/>
      <c r="G823" s="25"/>
      <c r="H823" s="25"/>
    </row>
    <row r="824" ht="14.25" customHeight="1">
      <c r="A824" s="25"/>
      <c r="B824" s="25"/>
      <c r="C824" s="26"/>
      <c r="D824" s="26"/>
      <c r="E824" s="25"/>
      <c r="F824" s="25"/>
      <c r="G824" s="25"/>
      <c r="H824" s="25"/>
    </row>
    <row r="825" ht="14.25" customHeight="1">
      <c r="A825" s="25"/>
      <c r="B825" s="25"/>
      <c r="C825" s="26"/>
      <c r="D825" s="26"/>
      <c r="E825" s="25"/>
      <c r="F825" s="25"/>
      <c r="G825" s="25"/>
      <c r="H825" s="25"/>
    </row>
    <row r="826" ht="14.25" customHeight="1">
      <c r="A826" s="25"/>
      <c r="B826" s="25"/>
      <c r="C826" s="26"/>
      <c r="D826" s="26"/>
      <c r="E826" s="25"/>
      <c r="F826" s="25"/>
      <c r="G826" s="25"/>
      <c r="H826" s="25"/>
    </row>
    <row r="827" ht="14.25" customHeight="1">
      <c r="A827" s="25"/>
      <c r="B827" s="25"/>
      <c r="C827" s="26"/>
      <c r="D827" s="26"/>
      <c r="E827" s="25"/>
      <c r="F827" s="25"/>
      <c r="G827" s="25"/>
      <c r="H827" s="25"/>
    </row>
    <row r="828" ht="14.25" customHeight="1">
      <c r="A828" s="25"/>
      <c r="B828" s="25"/>
      <c r="C828" s="26"/>
      <c r="D828" s="26"/>
      <c r="E828" s="25"/>
      <c r="F828" s="25"/>
      <c r="G828" s="25"/>
      <c r="H828" s="25"/>
    </row>
    <row r="829" ht="14.25" customHeight="1">
      <c r="A829" s="25"/>
      <c r="B829" s="25"/>
      <c r="C829" s="26"/>
      <c r="D829" s="26"/>
      <c r="E829" s="25"/>
      <c r="F829" s="25"/>
      <c r="G829" s="25"/>
      <c r="H829" s="25"/>
    </row>
    <row r="830" ht="14.25" customHeight="1">
      <c r="A830" s="25"/>
      <c r="B830" s="25"/>
      <c r="C830" s="26"/>
      <c r="D830" s="26"/>
      <c r="E830" s="25"/>
      <c r="F830" s="25"/>
      <c r="G830" s="25"/>
      <c r="H830" s="25"/>
    </row>
    <row r="831" ht="14.25" customHeight="1">
      <c r="A831" s="25"/>
      <c r="B831" s="25"/>
      <c r="C831" s="26"/>
      <c r="D831" s="26"/>
      <c r="E831" s="25"/>
      <c r="F831" s="25"/>
      <c r="G831" s="25"/>
      <c r="H831" s="25"/>
    </row>
    <row r="832" ht="14.25" customHeight="1">
      <c r="A832" s="25"/>
      <c r="B832" s="25"/>
      <c r="C832" s="26"/>
      <c r="D832" s="26"/>
      <c r="E832" s="25"/>
      <c r="F832" s="25"/>
      <c r="G832" s="25"/>
      <c r="H832" s="25"/>
    </row>
    <row r="833" ht="14.25" customHeight="1">
      <c r="A833" s="25"/>
      <c r="B833" s="25"/>
      <c r="C833" s="26"/>
      <c r="D833" s="26"/>
      <c r="E833" s="25"/>
      <c r="F833" s="25"/>
      <c r="G833" s="25"/>
      <c r="H833" s="25"/>
    </row>
    <row r="834" ht="14.25" customHeight="1">
      <c r="A834" s="25"/>
      <c r="B834" s="25"/>
      <c r="C834" s="26"/>
      <c r="D834" s="26"/>
      <c r="E834" s="25"/>
      <c r="F834" s="25"/>
      <c r="G834" s="25"/>
      <c r="H834" s="25"/>
    </row>
    <row r="835" ht="14.25" customHeight="1">
      <c r="A835" s="25"/>
      <c r="B835" s="25"/>
      <c r="C835" s="26"/>
      <c r="D835" s="26"/>
      <c r="E835" s="25"/>
      <c r="F835" s="25"/>
      <c r="G835" s="25"/>
      <c r="H835" s="25"/>
    </row>
    <row r="836" ht="14.25" customHeight="1">
      <c r="A836" s="25"/>
      <c r="B836" s="25"/>
      <c r="C836" s="26"/>
      <c r="D836" s="26"/>
      <c r="E836" s="25"/>
      <c r="F836" s="25"/>
      <c r="G836" s="25"/>
      <c r="H836" s="25"/>
    </row>
    <row r="837" ht="14.25" customHeight="1">
      <c r="A837" s="25"/>
      <c r="B837" s="25"/>
      <c r="C837" s="26"/>
      <c r="D837" s="26"/>
      <c r="E837" s="25"/>
      <c r="F837" s="25"/>
      <c r="G837" s="25"/>
      <c r="H837" s="25"/>
    </row>
    <row r="838" ht="14.25" customHeight="1">
      <c r="A838" s="25"/>
      <c r="B838" s="25"/>
      <c r="C838" s="26"/>
      <c r="D838" s="26"/>
      <c r="E838" s="25"/>
      <c r="F838" s="25"/>
      <c r="G838" s="25"/>
      <c r="H838" s="25"/>
    </row>
    <row r="839" ht="14.25" customHeight="1">
      <c r="A839" s="25"/>
      <c r="B839" s="25"/>
      <c r="C839" s="26"/>
      <c r="D839" s="26"/>
      <c r="E839" s="25"/>
      <c r="F839" s="25"/>
      <c r="G839" s="25"/>
      <c r="H839" s="25"/>
    </row>
    <row r="840" ht="14.25" customHeight="1">
      <c r="A840" s="25"/>
      <c r="B840" s="25"/>
      <c r="C840" s="26"/>
      <c r="D840" s="26"/>
      <c r="E840" s="25"/>
      <c r="F840" s="25"/>
      <c r="G840" s="25"/>
      <c r="H840" s="25"/>
    </row>
    <row r="841" ht="14.25" customHeight="1">
      <c r="A841" s="25"/>
      <c r="B841" s="25"/>
      <c r="C841" s="26"/>
      <c r="D841" s="26"/>
      <c r="E841" s="25"/>
      <c r="F841" s="25"/>
      <c r="G841" s="25"/>
      <c r="H841" s="25"/>
    </row>
    <row r="842" ht="14.25" customHeight="1">
      <c r="A842" s="25"/>
      <c r="B842" s="25"/>
      <c r="C842" s="26"/>
      <c r="D842" s="26"/>
      <c r="E842" s="25"/>
      <c r="F842" s="25"/>
      <c r="G842" s="25"/>
      <c r="H842" s="25"/>
    </row>
    <row r="843" ht="14.25" customHeight="1">
      <c r="A843" s="25"/>
      <c r="B843" s="25"/>
      <c r="C843" s="26"/>
      <c r="D843" s="26"/>
      <c r="E843" s="25"/>
      <c r="F843" s="25"/>
      <c r="G843" s="25"/>
      <c r="H843" s="25"/>
    </row>
    <row r="844" ht="14.25" customHeight="1">
      <c r="A844" s="25"/>
      <c r="B844" s="25"/>
      <c r="C844" s="26"/>
      <c r="D844" s="26"/>
      <c r="E844" s="25"/>
      <c r="F844" s="25"/>
      <c r="G844" s="25"/>
      <c r="H844" s="25"/>
    </row>
    <row r="845" ht="14.25" customHeight="1">
      <c r="A845" s="25"/>
      <c r="B845" s="25"/>
      <c r="C845" s="26"/>
      <c r="D845" s="26"/>
      <c r="E845" s="25"/>
      <c r="F845" s="25"/>
      <c r="G845" s="25"/>
      <c r="H845" s="25"/>
    </row>
    <row r="846" ht="14.25" customHeight="1">
      <c r="A846" s="25"/>
      <c r="B846" s="25"/>
      <c r="C846" s="26"/>
      <c r="D846" s="26"/>
      <c r="E846" s="25"/>
      <c r="F846" s="25"/>
      <c r="G846" s="25"/>
      <c r="H846" s="25"/>
    </row>
    <row r="847" ht="14.25" customHeight="1">
      <c r="A847" s="25"/>
      <c r="B847" s="25"/>
      <c r="C847" s="26"/>
      <c r="D847" s="26"/>
      <c r="E847" s="25"/>
      <c r="F847" s="25"/>
      <c r="G847" s="25"/>
      <c r="H847" s="25"/>
    </row>
    <row r="848" ht="14.25" customHeight="1">
      <c r="A848" s="25"/>
      <c r="B848" s="25"/>
      <c r="C848" s="26"/>
      <c r="D848" s="26"/>
      <c r="E848" s="25"/>
      <c r="F848" s="25"/>
      <c r="G848" s="25"/>
      <c r="H848" s="25"/>
    </row>
    <row r="849" ht="14.25" customHeight="1">
      <c r="A849" s="25"/>
      <c r="B849" s="25"/>
      <c r="C849" s="26"/>
      <c r="D849" s="26"/>
      <c r="E849" s="25"/>
      <c r="F849" s="25"/>
      <c r="G849" s="25"/>
      <c r="H849" s="25"/>
    </row>
    <row r="850" ht="14.25" customHeight="1">
      <c r="A850" s="25"/>
      <c r="B850" s="25"/>
      <c r="C850" s="26"/>
      <c r="D850" s="26"/>
      <c r="E850" s="25"/>
      <c r="F850" s="25"/>
      <c r="G850" s="25"/>
      <c r="H850" s="25"/>
    </row>
    <row r="851" ht="14.25" customHeight="1">
      <c r="A851" s="25"/>
      <c r="B851" s="25"/>
      <c r="C851" s="26"/>
      <c r="D851" s="26"/>
      <c r="E851" s="25"/>
      <c r="F851" s="25"/>
      <c r="G851" s="25"/>
      <c r="H851" s="25"/>
    </row>
    <row r="852" ht="14.25" customHeight="1">
      <c r="A852" s="25"/>
      <c r="B852" s="25"/>
      <c r="C852" s="26"/>
      <c r="D852" s="26"/>
      <c r="E852" s="25"/>
      <c r="F852" s="25"/>
      <c r="G852" s="25"/>
      <c r="H852" s="25"/>
    </row>
    <row r="853" ht="14.25" customHeight="1">
      <c r="A853" s="25"/>
      <c r="B853" s="25"/>
      <c r="C853" s="26"/>
      <c r="D853" s="26"/>
      <c r="E853" s="25"/>
      <c r="F853" s="25"/>
      <c r="G853" s="25"/>
      <c r="H853" s="25"/>
    </row>
    <row r="854" ht="14.25" customHeight="1">
      <c r="A854" s="25"/>
      <c r="B854" s="25"/>
      <c r="C854" s="26"/>
      <c r="D854" s="26"/>
      <c r="E854" s="25"/>
      <c r="F854" s="25"/>
      <c r="G854" s="25"/>
      <c r="H854" s="25"/>
    </row>
    <row r="855" ht="14.25" customHeight="1">
      <c r="A855" s="25"/>
      <c r="B855" s="25"/>
      <c r="C855" s="26"/>
      <c r="D855" s="26"/>
      <c r="E855" s="25"/>
      <c r="F855" s="25"/>
      <c r="G855" s="25"/>
      <c r="H855" s="25"/>
    </row>
    <row r="856" ht="14.25" customHeight="1">
      <c r="A856" s="25"/>
      <c r="B856" s="25"/>
      <c r="C856" s="26"/>
      <c r="D856" s="26"/>
      <c r="E856" s="25"/>
      <c r="F856" s="25"/>
      <c r="G856" s="25"/>
      <c r="H856" s="25"/>
    </row>
    <row r="857" ht="14.25" customHeight="1">
      <c r="A857" s="25"/>
      <c r="B857" s="25"/>
      <c r="C857" s="26"/>
      <c r="D857" s="26"/>
      <c r="E857" s="25"/>
      <c r="F857" s="25"/>
      <c r="G857" s="25"/>
      <c r="H857" s="25"/>
    </row>
    <row r="858" ht="14.25" customHeight="1">
      <c r="A858" s="25"/>
      <c r="B858" s="25"/>
      <c r="C858" s="26"/>
      <c r="D858" s="26"/>
      <c r="E858" s="25"/>
      <c r="F858" s="25"/>
      <c r="G858" s="25"/>
      <c r="H858" s="25"/>
    </row>
    <row r="859" ht="14.25" customHeight="1">
      <c r="A859" s="25"/>
      <c r="B859" s="25"/>
      <c r="C859" s="26"/>
      <c r="D859" s="26"/>
      <c r="E859" s="25"/>
      <c r="F859" s="25"/>
      <c r="G859" s="25"/>
      <c r="H859" s="25"/>
    </row>
    <row r="860" ht="14.25" customHeight="1">
      <c r="A860" s="25"/>
      <c r="B860" s="25"/>
      <c r="C860" s="26"/>
      <c r="D860" s="26"/>
      <c r="E860" s="25"/>
      <c r="F860" s="25"/>
      <c r="G860" s="25"/>
      <c r="H860" s="25"/>
    </row>
    <row r="861" ht="14.25" customHeight="1">
      <c r="A861" s="25"/>
      <c r="B861" s="25"/>
      <c r="C861" s="26"/>
      <c r="D861" s="26"/>
      <c r="E861" s="25"/>
      <c r="F861" s="25"/>
      <c r="G861" s="25"/>
      <c r="H861" s="25"/>
    </row>
    <row r="862" ht="14.25" customHeight="1">
      <c r="A862" s="25"/>
      <c r="B862" s="25"/>
      <c r="C862" s="26"/>
      <c r="D862" s="26"/>
      <c r="E862" s="25"/>
      <c r="F862" s="25"/>
      <c r="G862" s="25"/>
      <c r="H862" s="25"/>
    </row>
    <row r="863" ht="14.25" customHeight="1">
      <c r="A863" s="25"/>
      <c r="B863" s="25"/>
      <c r="C863" s="26"/>
      <c r="D863" s="26"/>
      <c r="E863" s="25"/>
      <c r="F863" s="25"/>
      <c r="G863" s="25"/>
      <c r="H863" s="25"/>
    </row>
    <row r="864" ht="14.25" customHeight="1">
      <c r="A864" s="25"/>
      <c r="B864" s="25"/>
      <c r="C864" s="26"/>
      <c r="D864" s="26"/>
      <c r="E864" s="25"/>
      <c r="F864" s="25"/>
      <c r="G864" s="25"/>
      <c r="H864" s="25"/>
    </row>
    <row r="865" ht="14.25" customHeight="1">
      <c r="A865" s="25"/>
      <c r="B865" s="25"/>
      <c r="C865" s="26"/>
      <c r="D865" s="26"/>
      <c r="E865" s="25"/>
      <c r="F865" s="25"/>
      <c r="G865" s="25"/>
      <c r="H865" s="25"/>
    </row>
    <row r="866" ht="14.25" customHeight="1">
      <c r="A866" s="25"/>
      <c r="B866" s="25"/>
      <c r="C866" s="26"/>
      <c r="D866" s="26"/>
      <c r="E866" s="25"/>
      <c r="F866" s="25"/>
      <c r="G866" s="25"/>
      <c r="H866" s="25"/>
    </row>
    <row r="867" ht="14.25" customHeight="1">
      <c r="A867" s="25"/>
      <c r="B867" s="25"/>
      <c r="C867" s="26"/>
      <c r="D867" s="26"/>
      <c r="E867" s="25"/>
      <c r="F867" s="25"/>
      <c r="G867" s="25"/>
      <c r="H867" s="25"/>
    </row>
    <row r="868" ht="14.25" customHeight="1">
      <c r="A868" s="25"/>
      <c r="B868" s="25"/>
      <c r="C868" s="26"/>
      <c r="D868" s="26"/>
      <c r="E868" s="25"/>
      <c r="F868" s="25"/>
      <c r="G868" s="25"/>
      <c r="H868" s="25"/>
    </row>
    <row r="869" ht="14.25" customHeight="1">
      <c r="A869" s="25"/>
      <c r="B869" s="25"/>
      <c r="C869" s="26"/>
      <c r="D869" s="26"/>
      <c r="E869" s="25"/>
      <c r="F869" s="25"/>
      <c r="G869" s="25"/>
      <c r="H869" s="25"/>
    </row>
    <row r="870" ht="14.25" customHeight="1">
      <c r="A870" s="25"/>
      <c r="B870" s="25"/>
      <c r="C870" s="26"/>
      <c r="D870" s="26"/>
      <c r="E870" s="25"/>
      <c r="F870" s="25"/>
      <c r="G870" s="25"/>
      <c r="H870" s="25"/>
    </row>
    <row r="871" ht="14.25" customHeight="1">
      <c r="A871" s="25"/>
      <c r="B871" s="25"/>
      <c r="C871" s="26"/>
      <c r="D871" s="26"/>
      <c r="E871" s="25"/>
      <c r="F871" s="25"/>
      <c r="G871" s="25"/>
      <c r="H871" s="25"/>
    </row>
    <row r="872" ht="14.25" customHeight="1">
      <c r="A872" s="25"/>
      <c r="B872" s="25"/>
      <c r="C872" s="26"/>
      <c r="D872" s="26"/>
      <c r="E872" s="25"/>
      <c r="F872" s="25"/>
      <c r="G872" s="25"/>
      <c r="H872" s="25"/>
    </row>
    <row r="873" ht="14.25" customHeight="1">
      <c r="A873" s="25"/>
      <c r="B873" s="25"/>
      <c r="C873" s="26"/>
      <c r="D873" s="26"/>
      <c r="E873" s="25"/>
      <c r="F873" s="25"/>
      <c r="G873" s="25"/>
      <c r="H873" s="25"/>
    </row>
    <row r="874" ht="14.25" customHeight="1">
      <c r="A874" s="25"/>
      <c r="B874" s="25"/>
      <c r="C874" s="26"/>
      <c r="D874" s="26"/>
      <c r="E874" s="25"/>
      <c r="F874" s="25"/>
      <c r="G874" s="25"/>
      <c r="H874" s="25"/>
    </row>
    <row r="875" ht="14.25" customHeight="1">
      <c r="A875" s="25"/>
      <c r="B875" s="25"/>
      <c r="C875" s="26"/>
      <c r="D875" s="26"/>
      <c r="E875" s="25"/>
      <c r="F875" s="25"/>
      <c r="G875" s="25"/>
      <c r="H875" s="25"/>
    </row>
    <row r="876" ht="14.25" customHeight="1">
      <c r="A876" s="25"/>
      <c r="B876" s="25"/>
      <c r="C876" s="26"/>
      <c r="D876" s="26"/>
      <c r="E876" s="25"/>
      <c r="F876" s="25"/>
      <c r="G876" s="25"/>
      <c r="H876" s="25"/>
    </row>
    <row r="877" ht="14.25" customHeight="1">
      <c r="A877" s="25"/>
      <c r="B877" s="25"/>
      <c r="C877" s="26"/>
      <c r="D877" s="26"/>
      <c r="E877" s="25"/>
      <c r="F877" s="25"/>
      <c r="G877" s="25"/>
      <c r="H877" s="25"/>
    </row>
    <row r="878" ht="14.25" customHeight="1">
      <c r="A878" s="25"/>
      <c r="B878" s="25"/>
      <c r="C878" s="26"/>
      <c r="D878" s="26"/>
      <c r="E878" s="25"/>
      <c r="F878" s="25"/>
      <c r="G878" s="25"/>
      <c r="H878" s="25"/>
    </row>
    <row r="879" ht="14.25" customHeight="1">
      <c r="A879" s="25"/>
      <c r="B879" s="25"/>
      <c r="C879" s="26"/>
      <c r="D879" s="26"/>
      <c r="E879" s="25"/>
      <c r="F879" s="25"/>
      <c r="G879" s="25"/>
      <c r="H879" s="25"/>
    </row>
    <row r="880" ht="14.25" customHeight="1">
      <c r="A880" s="25"/>
      <c r="B880" s="25"/>
      <c r="C880" s="26"/>
      <c r="D880" s="26"/>
      <c r="E880" s="25"/>
      <c r="F880" s="25"/>
      <c r="G880" s="25"/>
      <c r="H880" s="25"/>
    </row>
    <row r="881" ht="14.25" customHeight="1">
      <c r="A881" s="25"/>
      <c r="B881" s="25"/>
      <c r="C881" s="26"/>
      <c r="D881" s="26"/>
      <c r="E881" s="25"/>
      <c r="F881" s="25"/>
      <c r="G881" s="25"/>
      <c r="H881" s="25"/>
    </row>
    <row r="882" ht="14.25" customHeight="1">
      <c r="A882" s="25"/>
      <c r="B882" s="25"/>
      <c r="C882" s="26"/>
      <c r="D882" s="26"/>
      <c r="E882" s="25"/>
      <c r="F882" s="25"/>
      <c r="G882" s="25"/>
      <c r="H882" s="25"/>
    </row>
    <row r="883" ht="14.25" customHeight="1">
      <c r="A883" s="25"/>
      <c r="B883" s="25"/>
      <c r="C883" s="26"/>
      <c r="D883" s="26"/>
      <c r="E883" s="25"/>
      <c r="F883" s="25"/>
      <c r="G883" s="25"/>
      <c r="H883" s="25"/>
    </row>
    <row r="884" ht="14.25" customHeight="1">
      <c r="A884" s="25"/>
      <c r="B884" s="25"/>
      <c r="C884" s="26"/>
      <c r="D884" s="26"/>
      <c r="E884" s="25"/>
      <c r="F884" s="25"/>
      <c r="G884" s="25"/>
      <c r="H884" s="25"/>
    </row>
    <row r="885" ht="14.25" customHeight="1">
      <c r="A885" s="25"/>
      <c r="B885" s="25"/>
      <c r="C885" s="26"/>
      <c r="D885" s="26"/>
      <c r="E885" s="25"/>
      <c r="F885" s="25"/>
      <c r="G885" s="25"/>
      <c r="H885" s="25"/>
    </row>
    <row r="886" ht="14.25" customHeight="1">
      <c r="A886" s="25"/>
      <c r="B886" s="25"/>
      <c r="C886" s="26"/>
      <c r="D886" s="26"/>
      <c r="E886" s="25"/>
      <c r="F886" s="25"/>
      <c r="G886" s="25"/>
      <c r="H886" s="25"/>
    </row>
    <row r="887" ht="14.25" customHeight="1">
      <c r="A887" s="25"/>
      <c r="B887" s="25"/>
      <c r="C887" s="26"/>
      <c r="D887" s="26"/>
      <c r="E887" s="25"/>
      <c r="F887" s="25"/>
      <c r="G887" s="25"/>
      <c r="H887" s="25"/>
    </row>
    <row r="888" ht="14.25" customHeight="1">
      <c r="A888" s="25"/>
      <c r="B888" s="25"/>
      <c r="C888" s="26"/>
      <c r="D888" s="26"/>
      <c r="E888" s="25"/>
      <c r="F888" s="25"/>
      <c r="G888" s="25"/>
      <c r="H888" s="25"/>
    </row>
    <row r="889" ht="14.25" customHeight="1">
      <c r="A889" s="25"/>
      <c r="B889" s="25"/>
      <c r="C889" s="26"/>
      <c r="D889" s="26"/>
      <c r="E889" s="25"/>
      <c r="F889" s="25"/>
      <c r="G889" s="25"/>
      <c r="H889" s="25"/>
    </row>
    <row r="890" ht="14.25" customHeight="1">
      <c r="A890" s="25"/>
      <c r="B890" s="25"/>
      <c r="C890" s="26"/>
      <c r="D890" s="26"/>
      <c r="E890" s="25"/>
      <c r="F890" s="25"/>
      <c r="G890" s="25"/>
      <c r="H890" s="25"/>
    </row>
    <row r="891" ht="14.25" customHeight="1">
      <c r="A891" s="25"/>
      <c r="B891" s="25"/>
      <c r="C891" s="26"/>
      <c r="D891" s="26"/>
      <c r="E891" s="25"/>
      <c r="F891" s="25"/>
      <c r="G891" s="25"/>
      <c r="H891" s="25"/>
    </row>
    <row r="892" ht="14.25" customHeight="1">
      <c r="A892" s="25"/>
      <c r="B892" s="25"/>
      <c r="C892" s="26"/>
      <c r="D892" s="26"/>
      <c r="E892" s="25"/>
      <c r="F892" s="25"/>
      <c r="G892" s="25"/>
      <c r="H892" s="25"/>
    </row>
    <row r="893" ht="14.25" customHeight="1">
      <c r="A893" s="25"/>
      <c r="B893" s="25"/>
      <c r="C893" s="26"/>
      <c r="D893" s="26"/>
      <c r="E893" s="25"/>
      <c r="F893" s="25"/>
      <c r="G893" s="25"/>
      <c r="H893" s="25"/>
    </row>
    <row r="894" ht="14.25" customHeight="1">
      <c r="A894" s="25"/>
      <c r="B894" s="25"/>
      <c r="C894" s="26"/>
      <c r="D894" s="26"/>
      <c r="E894" s="25"/>
      <c r="F894" s="25"/>
      <c r="G894" s="25"/>
      <c r="H894" s="25"/>
    </row>
    <row r="895" ht="14.25" customHeight="1">
      <c r="A895" s="25"/>
      <c r="B895" s="25"/>
      <c r="C895" s="26"/>
      <c r="D895" s="26"/>
      <c r="E895" s="25"/>
      <c r="F895" s="25"/>
      <c r="G895" s="25"/>
      <c r="H895" s="25"/>
    </row>
    <row r="896" ht="14.25" customHeight="1">
      <c r="A896" s="25"/>
      <c r="B896" s="25"/>
      <c r="C896" s="26"/>
      <c r="D896" s="26"/>
      <c r="E896" s="25"/>
      <c r="F896" s="25"/>
      <c r="G896" s="25"/>
      <c r="H896" s="25"/>
    </row>
    <row r="897" ht="14.25" customHeight="1">
      <c r="A897" s="25"/>
      <c r="B897" s="25"/>
      <c r="C897" s="26"/>
      <c r="D897" s="26"/>
      <c r="E897" s="25"/>
      <c r="F897" s="25"/>
      <c r="G897" s="25"/>
      <c r="H897" s="25"/>
    </row>
    <row r="898" ht="14.25" customHeight="1">
      <c r="A898" s="25"/>
      <c r="B898" s="25"/>
      <c r="C898" s="26"/>
      <c r="D898" s="26"/>
      <c r="E898" s="25"/>
      <c r="F898" s="25"/>
      <c r="G898" s="25"/>
      <c r="H898" s="25"/>
    </row>
    <row r="899" ht="14.25" customHeight="1">
      <c r="A899" s="25"/>
      <c r="B899" s="25"/>
      <c r="C899" s="26"/>
      <c r="D899" s="26"/>
      <c r="E899" s="25"/>
      <c r="F899" s="25"/>
      <c r="G899" s="25"/>
      <c r="H899" s="25"/>
    </row>
    <row r="900" ht="14.25" customHeight="1">
      <c r="A900" s="25"/>
      <c r="B900" s="25"/>
      <c r="C900" s="26"/>
      <c r="D900" s="26"/>
      <c r="E900" s="25"/>
      <c r="F900" s="25"/>
      <c r="G900" s="25"/>
      <c r="H900" s="25"/>
    </row>
    <row r="901" ht="14.25" customHeight="1">
      <c r="A901" s="25"/>
      <c r="B901" s="25"/>
      <c r="C901" s="26"/>
      <c r="D901" s="26"/>
      <c r="E901" s="25"/>
      <c r="F901" s="25"/>
      <c r="G901" s="25"/>
      <c r="H901" s="25"/>
    </row>
    <row r="902" ht="14.25" customHeight="1">
      <c r="A902" s="25"/>
      <c r="B902" s="25"/>
      <c r="C902" s="26"/>
      <c r="D902" s="26"/>
      <c r="E902" s="25"/>
      <c r="F902" s="25"/>
      <c r="G902" s="25"/>
      <c r="H902" s="25"/>
    </row>
    <row r="903" ht="14.25" customHeight="1">
      <c r="A903" s="25"/>
      <c r="B903" s="25"/>
      <c r="C903" s="26"/>
      <c r="D903" s="26"/>
      <c r="E903" s="25"/>
      <c r="F903" s="25"/>
      <c r="G903" s="25"/>
      <c r="H903" s="25"/>
    </row>
    <row r="904" ht="14.25" customHeight="1">
      <c r="A904" s="25"/>
      <c r="B904" s="25"/>
      <c r="C904" s="26"/>
      <c r="D904" s="26"/>
      <c r="E904" s="25"/>
      <c r="F904" s="25"/>
      <c r="G904" s="25"/>
      <c r="H904" s="25"/>
    </row>
    <row r="905" ht="14.25" customHeight="1">
      <c r="A905" s="25"/>
      <c r="B905" s="25"/>
      <c r="C905" s="26"/>
      <c r="D905" s="26"/>
      <c r="E905" s="25"/>
      <c r="F905" s="25"/>
      <c r="G905" s="25"/>
      <c r="H905" s="25"/>
    </row>
    <row r="906" ht="14.25" customHeight="1">
      <c r="A906" s="25"/>
      <c r="B906" s="25"/>
      <c r="C906" s="26"/>
      <c r="D906" s="26"/>
      <c r="E906" s="25"/>
      <c r="F906" s="25"/>
      <c r="G906" s="25"/>
      <c r="H906" s="25"/>
    </row>
    <row r="907" ht="14.25" customHeight="1">
      <c r="A907" s="25"/>
      <c r="B907" s="25"/>
      <c r="C907" s="26"/>
      <c r="D907" s="26"/>
      <c r="E907" s="25"/>
      <c r="F907" s="25"/>
      <c r="G907" s="25"/>
      <c r="H907" s="25"/>
    </row>
    <row r="908" ht="14.25" customHeight="1">
      <c r="A908" s="25"/>
      <c r="B908" s="25"/>
      <c r="C908" s="26"/>
      <c r="D908" s="26"/>
      <c r="E908" s="25"/>
      <c r="F908" s="25"/>
      <c r="G908" s="25"/>
      <c r="H908" s="25"/>
    </row>
    <row r="909" ht="14.25" customHeight="1">
      <c r="A909" s="25"/>
      <c r="B909" s="25"/>
      <c r="C909" s="26"/>
      <c r="D909" s="26"/>
      <c r="E909" s="25"/>
      <c r="F909" s="25"/>
      <c r="G909" s="25"/>
      <c r="H909" s="25"/>
    </row>
    <row r="910" ht="14.25" customHeight="1">
      <c r="A910" s="25"/>
      <c r="B910" s="25"/>
      <c r="C910" s="26"/>
      <c r="D910" s="26"/>
      <c r="E910" s="25"/>
      <c r="F910" s="25"/>
      <c r="G910" s="25"/>
      <c r="H910" s="25"/>
    </row>
    <row r="911" ht="14.25" customHeight="1">
      <c r="A911" s="25"/>
      <c r="B911" s="25"/>
      <c r="C911" s="26"/>
      <c r="D911" s="26"/>
      <c r="E911" s="25"/>
      <c r="F911" s="25"/>
      <c r="G911" s="25"/>
      <c r="H911" s="25"/>
    </row>
    <row r="912" ht="14.25" customHeight="1">
      <c r="A912" s="25"/>
      <c r="B912" s="25"/>
      <c r="C912" s="26"/>
      <c r="D912" s="26"/>
      <c r="E912" s="25"/>
      <c r="F912" s="25"/>
      <c r="G912" s="25"/>
      <c r="H912" s="25"/>
    </row>
    <row r="913" ht="14.25" customHeight="1">
      <c r="A913" s="25"/>
      <c r="B913" s="25"/>
      <c r="C913" s="26"/>
      <c r="D913" s="26"/>
      <c r="E913" s="25"/>
      <c r="F913" s="25"/>
      <c r="G913" s="25"/>
      <c r="H913" s="25"/>
    </row>
    <row r="914" ht="14.25" customHeight="1">
      <c r="A914" s="25"/>
      <c r="B914" s="25"/>
      <c r="C914" s="26"/>
      <c r="D914" s="26"/>
      <c r="E914" s="25"/>
      <c r="F914" s="25"/>
      <c r="G914" s="25"/>
      <c r="H914" s="25"/>
    </row>
    <row r="915" ht="14.25" customHeight="1">
      <c r="A915" s="25"/>
      <c r="B915" s="25"/>
      <c r="C915" s="26"/>
      <c r="D915" s="26"/>
      <c r="E915" s="25"/>
      <c r="F915" s="25"/>
      <c r="G915" s="25"/>
      <c r="H915" s="25"/>
    </row>
    <row r="916" ht="14.25" customHeight="1">
      <c r="A916" s="25"/>
      <c r="B916" s="25"/>
      <c r="C916" s="26"/>
      <c r="D916" s="26"/>
      <c r="E916" s="25"/>
      <c r="F916" s="25"/>
      <c r="G916" s="25"/>
      <c r="H916" s="25"/>
    </row>
    <row r="917" ht="14.25" customHeight="1">
      <c r="A917" s="25"/>
      <c r="B917" s="25"/>
      <c r="C917" s="26"/>
      <c r="D917" s="26"/>
      <c r="E917" s="25"/>
      <c r="F917" s="25"/>
      <c r="G917" s="25"/>
      <c r="H917" s="25"/>
    </row>
    <row r="918" ht="14.25" customHeight="1">
      <c r="A918" s="25"/>
      <c r="B918" s="25"/>
      <c r="C918" s="26"/>
      <c r="D918" s="26"/>
      <c r="E918" s="25"/>
      <c r="F918" s="25"/>
      <c r="G918" s="25"/>
      <c r="H918" s="25"/>
    </row>
    <row r="919" ht="14.25" customHeight="1">
      <c r="A919" s="25"/>
      <c r="B919" s="25"/>
      <c r="C919" s="26"/>
      <c r="D919" s="26"/>
      <c r="E919" s="25"/>
      <c r="F919" s="25"/>
      <c r="G919" s="25"/>
      <c r="H919" s="25"/>
    </row>
    <row r="920" ht="14.25" customHeight="1">
      <c r="A920" s="25"/>
      <c r="B920" s="25"/>
      <c r="C920" s="26"/>
      <c r="D920" s="26"/>
      <c r="E920" s="25"/>
      <c r="F920" s="25"/>
      <c r="G920" s="25"/>
      <c r="H920" s="25"/>
    </row>
    <row r="921" ht="14.25" customHeight="1">
      <c r="A921" s="25"/>
      <c r="B921" s="25"/>
      <c r="C921" s="26"/>
      <c r="D921" s="26"/>
      <c r="E921" s="25"/>
      <c r="F921" s="25"/>
      <c r="G921" s="25"/>
      <c r="H921" s="25"/>
    </row>
    <row r="922" ht="14.25" customHeight="1">
      <c r="A922" s="25"/>
      <c r="B922" s="25"/>
      <c r="C922" s="26"/>
      <c r="D922" s="26"/>
      <c r="E922" s="25"/>
      <c r="F922" s="25"/>
      <c r="G922" s="25"/>
      <c r="H922" s="25"/>
    </row>
    <row r="923" ht="14.25" customHeight="1">
      <c r="A923" s="25"/>
      <c r="B923" s="25"/>
      <c r="C923" s="26"/>
      <c r="D923" s="26"/>
      <c r="E923" s="25"/>
      <c r="F923" s="25"/>
      <c r="G923" s="25"/>
      <c r="H923" s="25"/>
    </row>
    <row r="924" ht="14.25" customHeight="1">
      <c r="A924" s="25"/>
      <c r="B924" s="25"/>
      <c r="C924" s="26"/>
      <c r="D924" s="26"/>
      <c r="E924" s="25"/>
      <c r="F924" s="25"/>
      <c r="G924" s="25"/>
      <c r="H924" s="25"/>
    </row>
    <row r="925" ht="14.25" customHeight="1">
      <c r="A925" s="25"/>
      <c r="B925" s="25"/>
      <c r="C925" s="26"/>
      <c r="D925" s="26"/>
      <c r="E925" s="25"/>
      <c r="F925" s="25"/>
      <c r="G925" s="25"/>
      <c r="H925" s="25"/>
    </row>
    <row r="926" ht="14.25" customHeight="1">
      <c r="A926" s="25"/>
      <c r="B926" s="25"/>
      <c r="C926" s="26"/>
      <c r="D926" s="26"/>
      <c r="E926" s="25"/>
      <c r="F926" s="25"/>
      <c r="G926" s="25"/>
      <c r="H926" s="25"/>
    </row>
    <row r="927" ht="14.25" customHeight="1">
      <c r="A927" s="25"/>
      <c r="B927" s="25"/>
      <c r="C927" s="26"/>
      <c r="D927" s="26"/>
      <c r="E927" s="25"/>
      <c r="F927" s="25"/>
      <c r="G927" s="25"/>
      <c r="H927" s="25"/>
    </row>
    <row r="928" ht="14.25" customHeight="1">
      <c r="A928" s="25"/>
      <c r="B928" s="25"/>
      <c r="C928" s="26"/>
      <c r="D928" s="26"/>
      <c r="E928" s="25"/>
      <c r="F928" s="25"/>
      <c r="G928" s="25"/>
      <c r="H928" s="25"/>
    </row>
    <row r="929" ht="14.25" customHeight="1">
      <c r="A929" s="25"/>
      <c r="B929" s="25"/>
      <c r="C929" s="26"/>
      <c r="D929" s="26"/>
      <c r="E929" s="25"/>
      <c r="F929" s="25"/>
      <c r="G929" s="25"/>
      <c r="H929" s="25"/>
    </row>
    <row r="930" ht="14.25" customHeight="1">
      <c r="A930" s="25"/>
      <c r="B930" s="25"/>
      <c r="C930" s="26"/>
      <c r="D930" s="26"/>
      <c r="E930" s="25"/>
      <c r="F930" s="25"/>
      <c r="G930" s="25"/>
      <c r="H930" s="25"/>
    </row>
    <row r="931" ht="14.25" customHeight="1">
      <c r="A931" s="25"/>
      <c r="B931" s="25"/>
      <c r="C931" s="26"/>
      <c r="D931" s="26"/>
      <c r="E931" s="25"/>
      <c r="F931" s="25"/>
      <c r="G931" s="25"/>
      <c r="H931" s="25"/>
    </row>
    <row r="932" ht="14.25" customHeight="1">
      <c r="A932" s="25"/>
      <c r="B932" s="25"/>
      <c r="C932" s="26"/>
      <c r="D932" s="26"/>
      <c r="E932" s="25"/>
      <c r="F932" s="25"/>
      <c r="G932" s="25"/>
      <c r="H932" s="25"/>
    </row>
    <row r="933" ht="14.25" customHeight="1">
      <c r="A933" s="25"/>
      <c r="B933" s="25"/>
      <c r="C933" s="26"/>
      <c r="D933" s="26"/>
      <c r="E933" s="25"/>
      <c r="F933" s="25"/>
      <c r="G933" s="25"/>
      <c r="H933" s="25"/>
    </row>
    <row r="934" ht="14.25" customHeight="1">
      <c r="A934" s="25"/>
      <c r="B934" s="25"/>
      <c r="C934" s="26"/>
      <c r="D934" s="26"/>
      <c r="E934" s="25"/>
      <c r="F934" s="25"/>
      <c r="G934" s="25"/>
      <c r="H934" s="25"/>
    </row>
    <row r="935" ht="14.25" customHeight="1">
      <c r="A935" s="25"/>
      <c r="B935" s="25"/>
      <c r="C935" s="26"/>
      <c r="D935" s="26"/>
      <c r="E935" s="25"/>
      <c r="F935" s="25"/>
      <c r="G935" s="25"/>
      <c r="H935" s="25"/>
    </row>
    <row r="936" ht="14.25" customHeight="1">
      <c r="A936" s="25"/>
      <c r="B936" s="25"/>
      <c r="C936" s="26"/>
      <c r="D936" s="26"/>
      <c r="E936" s="25"/>
      <c r="F936" s="25"/>
      <c r="G936" s="25"/>
      <c r="H936" s="25"/>
    </row>
    <row r="937" ht="14.25" customHeight="1">
      <c r="A937" s="25"/>
      <c r="B937" s="25"/>
      <c r="C937" s="26"/>
      <c r="D937" s="26"/>
      <c r="E937" s="25"/>
      <c r="F937" s="25"/>
      <c r="G937" s="25"/>
      <c r="H937" s="25"/>
    </row>
    <row r="938" ht="14.25" customHeight="1">
      <c r="A938" s="25"/>
      <c r="B938" s="25"/>
      <c r="C938" s="26"/>
      <c r="D938" s="26"/>
      <c r="E938" s="25"/>
      <c r="F938" s="25"/>
      <c r="G938" s="25"/>
      <c r="H938" s="25"/>
    </row>
    <row r="939" ht="14.25" customHeight="1">
      <c r="A939" s="25"/>
      <c r="B939" s="25"/>
      <c r="C939" s="26"/>
      <c r="D939" s="26"/>
      <c r="E939" s="25"/>
      <c r="F939" s="25"/>
      <c r="G939" s="25"/>
      <c r="H939" s="25"/>
    </row>
    <row r="940" ht="14.25" customHeight="1">
      <c r="A940" s="25"/>
      <c r="B940" s="25"/>
      <c r="C940" s="26"/>
      <c r="D940" s="26"/>
      <c r="E940" s="25"/>
      <c r="F940" s="25"/>
      <c r="G940" s="25"/>
      <c r="H940" s="25"/>
    </row>
    <row r="941" ht="14.25" customHeight="1">
      <c r="A941" s="25"/>
      <c r="B941" s="25"/>
      <c r="C941" s="26"/>
      <c r="D941" s="26"/>
      <c r="E941" s="25"/>
      <c r="F941" s="25"/>
      <c r="G941" s="25"/>
      <c r="H941" s="25"/>
    </row>
    <row r="942" ht="14.25" customHeight="1">
      <c r="A942" s="25"/>
      <c r="B942" s="25"/>
      <c r="C942" s="26"/>
      <c r="D942" s="26"/>
      <c r="E942" s="25"/>
      <c r="F942" s="25"/>
      <c r="G942" s="25"/>
      <c r="H942" s="25"/>
    </row>
    <row r="943" ht="14.25" customHeight="1">
      <c r="A943" s="25"/>
      <c r="B943" s="25"/>
      <c r="C943" s="26"/>
      <c r="D943" s="26"/>
      <c r="E943" s="25"/>
      <c r="F943" s="25"/>
      <c r="G943" s="25"/>
      <c r="H943" s="25"/>
    </row>
    <row r="944" ht="14.25" customHeight="1">
      <c r="A944" s="25"/>
      <c r="B944" s="25"/>
      <c r="C944" s="26"/>
      <c r="D944" s="26"/>
      <c r="E944" s="25"/>
      <c r="F944" s="25"/>
      <c r="G944" s="25"/>
      <c r="H944" s="25"/>
    </row>
    <row r="945" ht="14.25" customHeight="1">
      <c r="A945" s="25"/>
      <c r="B945" s="25"/>
      <c r="C945" s="26"/>
      <c r="D945" s="26"/>
      <c r="E945" s="25"/>
      <c r="F945" s="25"/>
      <c r="G945" s="25"/>
      <c r="H945" s="25"/>
    </row>
    <row r="946" ht="14.25" customHeight="1">
      <c r="A946" s="25"/>
      <c r="B946" s="25"/>
      <c r="C946" s="26"/>
      <c r="D946" s="26"/>
      <c r="E946" s="25"/>
      <c r="F946" s="25"/>
      <c r="G946" s="25"/>
      <c r="H946" s="25"/>
    </row>
    <row r="947" ht="14.25" customHeight="1">
      <c r="A947" s="25"/>
      <c r="B947" s="25"/>
      <c r="C947" s="26"/>
      <c r="D947" s="26"/>
      <c r="E947" s="25"/>
      <c r="F947" s="25"/>
      <c r="G947" s="25"/>
      <c r="H947" s="25"/>
    </row>
    <row r="948" ht="14.25" customHeight="1">
      <c r="A948" s="25"/>
      <c r="B948" s="25"/>
      <c r="C948" s="26"/>
      <c r="D948" s="26"/>
      <c r="E948" s="25"/>
      <c r="F948" s="25"/>
      <c r="G948" s="25"/>
      <c r="H948" s="25"/>
    </row>
    <row r="949" ht="14.25" customHeight="1">
      <c r="A949" s="25"/>
      <c r="B949" s="25"/>
      <c r="C949" s="26"/>
      <c r="D949" s="26"/>
      <c r="E949" s="25"/>
      <c r="F949" s="25"/>
      <c r="G949" s="25"/>
      <c r="H949" s="25"/>
    </row>
    <row r="950" ht="14.25" customHeight="1">
      <c r="A950" s="25"/>
      <c r="B950" s="25"/>
      <c r="C950" s="26"/>
      <c r="D950" s="26"/>
      <c r="E950" s="25"/>
      <c r="F950" s="25"/>
      <c r="G950" s="25"/>
      <c r="H950" s="25"/>
    </row>
    <row r="951" ht="14.25" customHeight="1">
      <c r="A951" s="25"/>
      <c r="B951" s="25"/>
      <c r="C951" s="26"/>
      <c r="D951" s="26"/>
      <c r="E951" s="25"/>
      <c r="F951" s="25"/>
      <c r="G951" s="25"/>
      <c r="H951" s="25"/>
    </row>
    <row r="952" ht="14.25" customHeight="1">
      <c r="A952" s="25"/>
      <c r="B952" s="25"/>
      <c r="C952" s="26"/>
      <c r="D952" s="26"/>
      <c r="E952" s="25"/>
      <c r="F952" s="25"/>
      <c r="G952" s="25"/>
      <c r="H952" s="25"/>
    </row>
    <row r="953" ht="14.25" customHeight="1">
      <c r="A953" s="25"/>
      <c r="B953" s="25"/>
      <c r="C953" s="26"/>
      <c r="D953" s="26"/>
      <c r="E953" s="25"/>
      <c r="F953" s="25"/>
      <c r="G953" s="25"/>
      <c r="H953" s="25"/>
    </row>
    <row r="954" ht="14.25" customHeight="1">
      <c r="A954" s="25"/>
      <c r="B954" s="25"/>
      <c r="C954" s="26"/>
      <c r="D954" s="26"/>
      <c r="E954" s="25"/>
      <c r="F954" s="25"/>
      <c r="G954" s="25"/>
      <c r="H954" s="25"/>
    </row>
    <row r="955" ht="14.25" customHeight="1">
      <c r="A955" s="25"/>
      <c r="B955" s="25"/>
      <c r="C955" s="26"/>
      <c r="D955" s="26"/>
      <c r="E955" s="25"/>
      <c r="F955" s="25"/>
      <c r="G955" s="25"/>
      <c r="H955" s="25"/>
    </row>
    <row r="956" ht="14.25" customHeight="1">
      <c r="A956" s="25"/>
      <c r="B956" s="25"/>
      <c r="C956" s="26"/>
      <c r="D956" s="26"/>
      <c r="E956" s="25"/>
      <c r="F956" s="25"/>
      <c r="G956" s="25"/>
      <c r="H956" s="25"/>
    </row>
    <row r="957" ht="14.25" customHeight="1">
      <c r="A957" s="25"/>
      <c r="B957" s="25"/>
      <c r="C957" s="26"/>
      <c r="D957" s="26"/>
      <c r="E957" s="25"/>
      <c r="F957" s="25"/>
      <c r="G957" s="25"/>
      <c r="H957" s="25"/>
    </row>
    <row r="958" ht="14.25" customHeight="1">
      <c r="A958" s="25"/>
      <c r="B958" s="25"/>
      <c r="C958" s="26"/>
      <c r="D958" s="26"/>
      <c r="E958" s="25"/>
      <c r="F958" s="25"/>
      <c r="G958" s="25"/>
      <c r="H958" s="25"/>
    </row>
    <row r="959" ht="14.25" customHeight="1">
      <c r="A959" s="25"/>
      <c r="B959" s="25"/>
      <c r="C959" s="26"/>
      <c r="D959" s="26"/>
      <c r="E959" s="25"/>
      <c r="F959" s="25"/>
      <c r="G959" s="25"/>
      <c r="H959" s="25"/>
    </row>
    <row r="960" ht="14.25" customHeight="1">
      <c r="A960" s="25"/>
      <c r="B960" s="25"/>
      <c r="C960" s="26"/>
      <c r="D960" s="26"/>
      <c r="E960" s="25"/>
      <c r="F960" s="25"/>
      <c r="G960" s="25"/>
      <c r="H960" s="25"/>
    </row>
    <row r="961" ht="14.25" customHeight="1">
      <c r="A961" s="25"/>
      <c r="B961" s="25"/>
      <c r="C961" s="26"/>
      <c r="D961" s="26"/>
      <c r="E961" s="25"/>
      <c r="F961" s="25"/>
      <c r="G961" s="25"/>
      <c r="H961" s="25"/>
    </row>
    <row r="962" ht="14.25" customHeight="1">
      <c r="A962" s="25"/>
      <c r="B962" s="25"/>
      <c r="C962" s="26"/>
      <c r="D962" s="26"/>
      <c r="E962" s="25"/>
      <c r="F962" s="25"/>
      <c r="G962" s="25"/>
      <c r="H962" s="25"/>
    </row>
    <row r="963" ht="14.25" customHeight="1">
      <c r="A963" s="25"/>
      <c r="B963" s="25"/>
      <c r="C963" s="26"/>
      <c r="D963" s="26"/>
      <c r="E963" s="25"/>
      <c r="F963" s="25"/>
      <c r="G963" s="25"/>
      <c r="H963" s="25"/>
    </row>
    <row r="964" ht="14.25" customHeight="1">
      <c r="A964" s="25"/>
      <c r="B964" s="25"/>
      <c r="C964" s="26"/>
      <c r="D964" s="26"/>
      <c r="E964" s="25"/>
      <c r="F964" s="25"/>
      <c r="G964" s="25"/>
      <c r="H964" s="25"/>
    </row>
    <row r="965" ht="14.25" customHeight="1">
      <c r="A965" s="25"/>
      <c r="B965" s="25"/>
      <c r="C965" s="26"/>
      <c r="D965" s="26"/>
      <c r="E965" s="25"/>
      <c r="F965" s="25"/>
      <c r="G965" s="25"/>
      <c r="H965" s="25"/>
    </row>
    <row r="966" ht="14.25" customHeight="1">
      <c r="A966" s="25"/>
      <c r="B966" s="25"/>
      <c r="C966" s="26"/>
      <c r="D966" s="26"/>
      <c r="E966" s="25"/>
      <c r="F966" s="25"/>
      <c r="G966" s="25"/>
      <c r="H966" s="25"/>
    </row>
    <row r="967" ht="14.25" customHeight="1">
      <c r="A967" s="25"/>
      <c r="B967" s="25"/>
      <c r="C967" s="26"/>
      <c r="D967" s="26"/>
      <c r="E967" s="25"/>
      <c r="F967" s="25"/>
      <c r="G967" s="25"/>
      <c r="H967" s="25"/>
    </row>
    <row r="968" ht="14.25" customHeight="1">
      <c r="A968" s="25"/>
      <c r="B968" s="25"/>
      <c r="C968" s="26"/>
      <c r="D968" s="26"/>
      <c r="E968" s="25"/>
      <c r="F968" s="25"/>
      <c r="G968" s="25"/>
      <c r="H968" s="25"/>
    </row>
    <row r="969" ht="14.25" customHeight="1">
      <c r="A969" s="25"/>
      <c r="B969" s="25"/>
      <c r="C969" s="26"/>
      <c r="D969" s="26"/>
      <c r="E969" s="25"/>
      <c r="F969" s="25"/>
      <c r="G969" s="25"/>
      <c r="H969" s="25"/>
    </row>
    <row r="970" ht="14.25" customHeight="1">
      <c r="A970" s="25"/>
      <c r="B970" s="25"/>
      <c r="C970" s="26"/>
      <c r="D970" s="26"/>
      <c r="E970" s="25"/>
      <c r="F970" s="25"/>
      <c r="G970" s="25"/>
      <c r="H970" s="25"/>
    </row>
    <row r="971" ht="14.25" customHeight="1">
      <c r="A971" s="25"/>
      <c r="B971" s="25"/>
      <c r="C971" s="26"/>
      <c r="D971" s="26"/>
      <c r="E971" s="25"/>
      <c r="F971" s="25"/>
      <c r="G971" s="25"/>
      <c r="H971" s="25"/>
    </row>
    <row r="972" ht="14.25" customHeight="1">
      <c r="A972" s="25"/>
      <c r="B972" s="25"/>
      <c r="C972" s="26"/>
      <c r="D972" s="26"/>
      <c r="E972" s="25"/>
      <c r="F972" s="25"/>
      <c r="G972" s="25"/>
      <c r="H972" s="25"/>
    </row>
    <row r="973" ht="14.25" customHeight="1">
      <c r="A973" s="25"/>
      <c r="B973" s="25"/>
      <c r="C973" s="26"/>
      <c r="D973" s="26"/>
      <c r="E973" s="25"/>
      <c r="F973" s="25"/>
      <c r="G973" s="25"/>
      <c r="H973" s="25"/>
    </row>
    <row r="974" ht="14.25" customHeight="1">
      <c r="A974" s="25"/>
      <c r="B974" s="25"/>
      <c r="C974" s="26"/>
      <c r="D974" s="26"/>
      <c r="E974" s="25"/>
      <c r="F974" s="25"/>
      <c r="G974" s="25"/>
      <c r="H974" s="25"/>
    </row>
    <row r="975" ht="14.25" customHeight="1">
      <c r="A975" s="25"/>
      <c r="B975" s="25"/>
      <c r="C975" s="26"/>
      <c r="D975" s="26"/>
      <c r="E975" s="25"/>
      <c r="F975" s="25"/>
      <c r="G975" s="25"/>
      <c r="H975" s="25"/>
    </row>
    <row r="976" ht="14.25" customHeight="1">
      <c r="A976" s="25"/>
      <c r="B976" s="25"/>
      <c r="C976" s="26"/>
      <c r="D976" s="26"/>
      <c r="E976" s="25"/>
      <c r="F976" s="25"/>
      <c r="G976" s="25"/>
      <c r="H976" s="25"/>
    </row>
    <row r="977" ht="14.25" customHeight="1">
      <c r="A977" s="25"/>
      <c r="B977" s="25"/>
      <c r="C977" s="26"/>
      <c r="D977" s="26"/>
      <c r="E977" s="25"/>
      <c r="F977" s="25"/>
      <c r="G977" s="25"/>
      <c r="H977" s="25"/>
    </row>
    <row r="978" ht="14.25" customHeight="1">
      <c r="A978" s="25"/>
      <c r="B978" s="25"/>
      <c r="C978" s="26"/>
      <c r="D978" s="26"/>
      <c r="E978" s="25"/>
      <c r="F978" s="25"/>
      <c r="G978" s="25"/>
      <c r="H978" s="25"/>
    </row>
    <row r="979" ht="14.25" customHeight="1">
      <c r="A979" s="25"/>
      <c r="B979" s="25"/>
      <c r="C979" s="26"/>
      <c r="D979" s="26"/>
      <c r="E979" s="25"/>
      <c r="F979" s="25"/>
      <c r="G979" s="25"/>
      <c r="H979" s="25"/>
    </row>
    <row r="980" ht="14.25" customHeight="1">
      <c r="A980" s="25"/>
      <c r="B980" s="25"/>
      <c r="C980" s="26"/>
      <c r="D980" s="26"/>
      <c r="E980" s="25"/>
      <c r="F980" s="25"/>
      <c r="G980" s="25"/>
      <c r="H980" s="25"/>
    </row>
    <row r="981" ht="14.25" customHeight="1">
      <c r="A981" s="25"/>
      <c r="B981" s="25"/>
      <c r="C981" s="26"/>
      <c r="D981" s="26"/>
      <c r="E981" s="25"/>
      <c r="F981" s="25"/>
      <c r="G981" s="25"/>
      <c r="H981" s="25"/>
    </row>
    <row r="982" ht="14.25" customHeight="1">
      <c r="A982" s="25"/>
      <c r="B982" s="25"/>
      <c r="C982" s="26"/>
      <c r="D982" s="26"/>
      <c r="E982" s="25"/>
      <c r="F982" s="25"/>
      <c r="G982" s="25"/>
      <c r="H982" s="25"/>
    </row>
    <row r="983" ht="14.25" customHeight="1">
      <c r="A983" s="25"/>
      <c r="B983" s="25"/>
      <c r="C983" s="26"/>
      <c r="D983" s="26"/>
      <c r="E983" s="25"/>
      <c r="F983" s="25"/>
      <c r="G983" s="25"/>
      <c r="H983" s="25"/>
    </row>
    <row r="984" ht="14.25" customHeight="1">
      <c r="A984" s="25"/>
      <c r="B984" s="25"/>
      <c r="C984" s="26"/>
      <c r="D984" s="26"/>
      <c r="E984" s="25"/>
      <c r="F984" s="25"/>
      <c r="G984" s="25"/>
      <c r="H984" s="25"/>
    </row>
    <row r="985" ht="14.25" customHeight="1">
      <c r="A985" s="25"/>
      <c r="B985" s="25"/>
      <c r="C985" s="26"/>
      <c r="D985" s="26"/>
      <c r="E985" s="25"/>
      <c r="F985" s="25"/>
      <c r="G985" s="25"/>
      <c r="H985" s="25"/>
    </row>
    <row r="986" ht="14.25" customHeight="1">
      <c r="A986" s="25"/>
      <c r="B986" s="25"/>
      <c r="C986" s="26"/>
      <c r="D986" s="26"/>
      <c r="E986" s="25"/>
      <c r="F986" s="25"/>
      <c r="G986" s="25"/>
      <c r="H986" s="25"/>
    </row>
    <row r="987" ht="14.25" customHeight="1">
      <c r="A987" s="25"/>
      <c r="B987" s="25"/>
      <c r="C987" s="26"/>
      <c r="D987" s="26"/>
      <c r="E987" s="25"/>
      <c r="F987" s="25"/>
      <c r="G987" s="25"/>
      <c r="H987" s="25"/>
    </row>
    <row r="988" ht="14.25" customHeight="1">
      <c r="A988" s="25"/>
      <c r="B988" s="25"/>
      <c r="C988" s="26"/>
      <c r="D988" s="26"/>
      <c r="E988" s="25"/>
      <c r="F988" s="25"/>
      <c r="G988" s="25"/>
      <c r="H988" s="25"/>
    </row>
    <row r="989" ht="14.25" customHeight="1">
      <c r="A989" s="25"/>
      <c r="B989" s="25"/>
      <c r="C989" s="26"/>
      <c r="D989" s="26"/>
      <c r="E989" s="25"/>
      <c r="F989" s="25"/>
      <c r="G989" s="25"/>
      <c r="H989" s="25"/>
    </row>
    <row r="990" ht="14.25" customHeight="1">
      <c r="A990" s="25"/>
      <c r="B990" s="25"/>
      <c r="C990" s="26"/>
      <c r="D990" s="26"/>
      <c r="E990" s="25"/>
      <c r="F990" s="25"/>
      <c r="G990" s="25"/>
      <c r="H990" s="25"/>
    </row>
    <row r="991" ht="14.25" customHeight="1">
      <c r="A991" s="25"/>
      <c r="B991" s="25"/>
      <c r="C991" s="26"/>
      <c r="D991" s="26"/>
      <c r="E991" s="25"/>
      <c r="F991" s="25"/>
      <c r="G991" s="25"/>
      <c r="H991" s="25"/>
    </row>
    <row r="992" ht="14.25" customHeight="1">
      <c r="A992" s="25"/>
      <c r="B992" s="25"/>
      <c r="C992" s="26"/>
      <c r="D992" s="26"/>
      <c r="E992" s="25"/>
      <c r="F992" s="25"/>
      <c r="G992" s="25"/>
      <c r="H992" s="25"/>
    </row>
    <row r="993" ht="14.25" customHeight="1">
      <c r="A993" s="25"/>
      <c r="B993" s="25"/>
      <c r="C993" s="26"/>
      <c r="D993" s="26"/>
      <c r="E993" s="25"/>
      <c r="F993" s="25"/>
      <c r="G993" s="25"/>
      <c r="H993" s="25"/>
    </row>
    <row r="994" ht="14.25" customHeight="1">
      <c r="A994" s="25"/>
      <c r="B994" s="25"/>
      <c r="C994" s="26"/>
      <c r="D994" s="26"/>
      <c r="E994" s="25"/>
      <c r="F994" s="25"/>
      <c r="G994" s="25"/>
      <c r="H994" s="25"/>
    </row>
    <row r="995" ht="14.25" customHeight="1">
      <c r="A995" s="25"/>
      <c r="B995" s="25"/>
      <c r="C995" s="26"/>
      <c r="D995" s="26"/>
      <c r="E995" s="25"/>
      <c r="F995" s="25"/>
      <c r="G995" s="25"/>
      <c r="H995" s="25"/>
    </row>
    <row r="996" ht="14.25" customHeight="1">
      <c r="A996" s="25"/>
      <c r="B996" s="25"/>
      <c r="C996" s="26"/>
      <c r="D996" s="26"/>
      <c r="E996" s="25"/>
      <c r="F996" s="25"/>
      <c r="G996" s="25"/>
      <c r="H996" s="25"/>
    </row>
    <row r="997" ht="14.25" customHeight="1">
      <c r="A997" s="25"/>
      <c r="B997" s="25"/>
      <c r="C997" s="26"/>
      <c r="D997" s="26"/>
      <c r="E997" s="25"/>
      <c r="F997" s="25"/>
      <c r="G997" s="25"/>
      <c r="H997" s="25"/>
    </row>
    <row r="998" ht="14.25" customHeight="1">
      <c r="A998" s="25"/>
      <c r="B998" s="25"/>
      <c r="C998" s="26"/>
      <c r="D998" s="26"/>
      <c r="E998" s="25"/>
      <c r="F998" s="25"/>
      <c r="G998" s="25"/>
      <c r="H998" s="25"/>
    </row>
    <row r="999" ht="14.25" customHeight="1">
      <c r="A999" s="25"/>
      <c r="B999" s="25"/>
      <c r="C999" s="26"/>
      <c r="D999" s="26"/>
      <c r="E999" s="25"/>
      <c r="F999" s="25"/>
      <c r="G999" s="25"/>
      <c r="H999" s="25"/>
    </row>
    <row r="1000" ht="14.25" customHeight="1">
      <c r="A1000" s="25"/>
      <c r="B1000" s="25"/>
      <c r="C1000" s="26"/>
      <c r="D1000" s="26"/>
      <c r="E1000" s="25"/>
      <c r="F1000" s="25"/>
      <c r="G1000" s="25"/>
      <c r="H1000" s="25"/>
    </row>
    <row r="1001" ht="14.25" customHeight="1">
      <c r="A1001" s="25"/>
      <c r="B1001" s="25"/>
      <c r="C1001" s="26"/>
      <c r="D1001" s="26"/>
      <c r="E1001" s="25"/>
      <c r="F1001" s="25"/>
      <c r="G1001" s="25"/>
      <c r="H1001" s="25"/>
    </row>
    <row r="1002" ht="14.25" customHeight="1">
      <c r="A1002" s="25"/>
      <c r="B1002" s="25"/>
      <c r="C1002" s="26"/>
      <c r="D1002" s="26"/>
      <c r="E1002" s="25"/>
      <c r="F1002" s="25"/>
      <c r="G1002" s="25"/>
      <c r="H1002" s="25"/>
    </row>
    <row r="1003" ht="14.25" customHeight="1">
      <c r="A1003" s="25"/>
      <c r="B1003" s="25"/>
      <c r="C1003" s="26"/>
      <c r="D1003" s="26"/>
      <c r="E1003" s="25"/>
      <c r="F1003" s="25"/>
      <c r="G1003" s="25"/>
      <c r="H1003" s="25"/>
    </row>
    <row r="1004" ht="14.25" customHeight="1">
      <c r="A1004" s="25"/>
      <c r="B1004" s="25"/>
      <c r="C1004" s="26"/>
      <c r="D1004" s="26"/>
      <c r="E1004" s="25"/>
      <c r="F1004" s="25"/>
      <c r="G1004" s="25"/>
      <c r="H1004" s="25"/>
    </row>
    <row r="1005" ht="14.25" customHeight="1">
      <c r="A1005" s="25"/>
      <c r="B1005" s="25"/>
      <c r="C1005" s="26"/>
      <c r="D1005" s="26"/>
      <c r="E1005" s="25"/>
      <c r="F1005" s="25"/>
      <c r="G1005" s="25"/>
      <c r="H1005" s="25"/>
    </row>
    <row r="1006" ht="14.25" customHeight="1">
      <c r="A1006" s="25"/>
      <c r="B1006" s="25"/>
      <c r="C1006" s="26"/>
      <c r="D1006" s="26"/>
      <c r="E1006" s="25"/>
      <c r="F1006" s="25"/>
      <c r="G1006" s="25"/>
      <c r="H1006" s="25"/>
    </row>
    <row r="1007" ht="14.25" customHeight="1">
      <c r="A1007" s="25"/>
      <c r="B1007" s="25"/>
      <c r="C1007" s="26"/>
      <c r="D1007" s="26"/>
      <c r="E1007" s="25"/>
      <c r="F1007" s="25"/>
      <c r="G1007" s="25"/>
      <c r="H1007" s="25"/>
    </row>
    <row r="1008" ht="14.25" customHeight="1">
      <c r="A1008" s="25"/>
      <c r="B1008" s="25"/>
      <c r="C1008" s="26"/>
      <c r="D1008" s="26"/>
      <c r="E1008" s="25"/>
      <c r="F1008" s="25"/>
      <c r="G1008" s="25"/>
      <c r="H1008" s="25"/>
    </row>
    <row r="1009" ht="14.25" customHeight="1">
      <c r="A1009" s="25"/>
      <c r="B1009" s="25"/>
      <c r="C1009" s="26"/>
      <c r="D1009" s="26"/>
      <c r="E1009" s="25"/>
      <c r="F1009" s="25"/>
      <c r="G1009" s="25"/>
      <c r="H1009" s="25"/>
    </row>
    <row r="1010" ht="14.25" customHeight="1">
      <c r="A1010" s="25"/>
      <c r="B1010" s="25"/>
      <c r="C1010" s="26"/>
      <c r="D1010" s="26"/>
      <c r="E1010" s="25"/>
      <c r="F1010" s="25"/>
      <c r="G1010" s="25"/>
      <c r="H1010" s="25"/>
    </row>
    <row r="1011" ht="14.25" customHeight="1">
      <c r="A1011" s="25"/>
      <c r="B1011" s="25"/>
      <c r="C1011" s="26"/>
      <c r="D1011" s="26"/>
      <c r="E1011" s="25"/>
      <c r="F1011" s="25"/>
      <c r="G1011" s="25"/>
      <c r="H1011" s="25"/>
    </row>
    <row r="1012" ht="14.25" customHeight="1">
      <c r="A1012" s="25"/>
      <c r="B1012" s="25"/>
      <c r="C1012" s="26"/>
      <c r="D1012" s="26"/>
      <c r="E1012" s="25"/>
      <c r="F1012" s="25"/>
      <c r="G1012" s="25"/>
      <c r="H1012" s="25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7" width="16.0"/>
    <col customWidth="1" min="8" max="8" width="14.0"/>
    <col customWidth="1" min="9" max="9" width="47.71"/>
    <col customWidth="1" min="10" max="26" width="8.71"/>
  </cols>
  <sheetData>
    <row r="1" ht="14.25" customHeight="1">
      <c r="A1" s="43" t="s">
        <v>388</v>
      </c>
      <c r="B1" s="43" t="s">
        <v>389</v>
      </c>
      <c r="C1" s="43" t="s">
        <v>390</v>
      </c>
      <c r="D1" s="43" t="s">
        <v>391</v>
      </c>
      <c r="E1" s="43" t="s">
        <v>392</v>
      </c>
      <c r="F1" s="43" t="s">
        <v>393</v>
      </c>
      <c r="G1" s="43" t="s">
        <v>394</v>
      </c>
      <c r="H1" s="43" t="s">
        <v>395</v>
      </c>
      <c r="I1" s="43" t="s">
        <v>191</v>
      </c>
    </row>
    <row r="2" ht="14.25" customHeight="1">
      <c r="A2" s="44">
        <v>46067.0</v>
      </c>
      <c r="B2" s="45">
        <v>0.0</v>
      </c>
      <c r="C2" s="45">
        <v>0.0</v>
      </c>
      <c r="D2" s="45">
        <v>0.0</v>
      </c>
      <c r="E2" s="45">
        <v>120000.0</v>
      </c>
      <c r="F2" s="45">
        <v>0.0</v>
      </c>
      <c r="G2" s="14">
        <f t="shared" ref="G2:G61" si="1">B2+C2-F2</f>
        <v>0</v>
      </c>
      <c r="H2" s="14">
        <f t="shared" ref="H2:H61" si="2">G2-(B2+C2-F2)</f>
        <v>0</v>
      </c>
      <c r="I2" s="46" t="s">
        <v>396</v>
      </c>
    </row>
    <row r="3" ht="14.25" customHeight="1">
      <c r="A3" s="44"/>
      <c r="B3" s="14"/>
      <c r="C3" s="14"/>
      <c r="D3" s="14"/>
      <c r="E3" s="14"/>
      <c r="F3" s="14"/>
      <c r="G3" s="14">
        <f t="shared" si="1"/>
        <v>0</v>
      </c>
      <c r="H3" s="14">
        <f t="shared" si="2"/>
        <v>0</v>
      </c>
    </row>
    <row r="4" ht="14.25" customHeight="1">
      <c r="A4" s="47"/>
      <c r="B4" s="14"/>
      <c r="C4" s="14"/>
      <c r="D4" s="14"/>
      <c r="E4" s="14"/>
      <c r="F4" s="14"/>
      <c r="G4" s="14">
        <f t="shared" si="1"/>
        <v>0</v>
      </c>
      <c r="H4" s="14">
        <f t="shared" si="2"/>
        <v>0</v>
      </c>
    </row>
    <row r="5" ht="14.25" customHeight="1">
      <c r="A5" s="47"/>
      <c r="B5" s="14"/>
      <c r="C5" s="14"/>
      <c r="D5" s="14"/>
      <c r="E5" s="14"/>
      <c r="F5" s="14"/>
      <c r="G5" s="14">
        <f t="shared" si="1"/>
        <v>0</v>
      </c>
      <c r="H5" s="14">
        <f t="shared" si="2"/>
        <v>0</v>
      </c>
    </row>
    <row r="6" ht="14.25" customHeight="1">
      <c r="A6" s="47"/>
      <c r="B6" s="14"/>
      <c r="C6" s="14"/>
      <c r="D6" s="14"/>
      <c r="E6" s="14"/>
      <c r="F6" s="14"/>
      <c r="G6" s="14">
        <f t="shared" si="1"/>
        <v>0</v>
      </c>
      <c r="H6" s="14">
        <f t="shared" si="2"/>
        <v>0</v>
      </c>
    </row>
    <row r="7" ht="14.25" customHeight="1">
      <c r="A7" s="47"/>
      <c r="B7" s="14"/>
      <c r="C7" s="14"/>
      <c r="D7" s="14"/>
      <c r="E7" s="14"/>
      <c r="F7" s="14"/>
      <c r="G7" s="14">
        <f t="shared" si="1"/>
        <v>0</v>
      </c>
      <c r="H7" s="14">
        <f t="shared" si="2"/>
        <v>0</v>
      </c>
    </row>
    <row r="8" ht="14.25" customHeight="1">
      <c r="A8" s="47"/>
      <c r="B8" s="14"/>
      <c r="C8" s="14"/>
      <c r="D8" s="14"/>
      <c r="E8" s="14"/>
      <c r="F8" s="14"/>
      <c r="G8" s="14">
        <f t="shared" si="1"/>
        <v>0</v>
      </c>
      <c r="H8" s="14">
        <f t="shared" si="2"/>
        <v>0</v>
      </c>
    </row>
    <row r="9" ht="14.25" customHeight="1">
      <c r="A9" s="47"/>
      <c r="B9" s="14"/>
      <c r="C9" s="14"/>
      <c r="D9" s="14"/>
      <c r="E9" s="14"/>
      <c r="F9" s="14"/>
      <c r="G9" s="14">
        <f t="shared" si="1"/>
        <v>0</v>
      </c>
      <c r="H9" s="14">
        <f t="shared" si="2"/>
        <v>0</v>
      </c>
    </row>
    <row r="10" ht="14.25" customHeight="1">
      <c r="A10" s="47"/>
      <c r="B10" s="14"/>
      <c r="C10" s="14"/>
      <c r="D10" s="14"/>
      <c r="E10" s="14"/>
      <c r="F10" s="14"/>
      <c r="G10" s="14">
        <f t="shared" si="1"/>
        <v>0</v>
      </c>
      <c r="H10" s="14">
        <f t="shared" si="2"/>
        <v>0</v>
      </c>
    </row>
    <row r="11" ht="14.25" customHeight="1">
      <c r="A11" s="47"/>
      <c r="B11" s="14"/>
      <c r="C11" s="14"/>
      <c r="D11" s="14"/>
      <c r="E11" s="14"/>
      <c r="F11" s="14"/>
      <c r="G11" s="14">
        <f t="shared" si="1"/>
        <v>0</v>
      </c>
      <c r="H11" s="14">
        <f t="shared" si="2"/>
        <v>0</v>
      </c>
    </row>
    <row r="12" ht="14.25" customHeight="1">
      <c r="A12" s="47"/>
      <c r="B12" s="14"/>
      <c r="C12" s="14"/>
      <c r="D12" s="14"/>
      <c r="E12" s="14"/>
      <c r="F12" s="14"/>
      <c r="G12" s="14">
        <f t="shared" si="1"/>
        <v>0</v>
      </c>
      <c r="H12" s="14">
        <f t="shared" si="2"/>
        <v>0</v>
      </c>
    </row>
    <row r="13" ht="14.25" customHeight="1">
      <c r="A13" s="47"/>
      <c r="B13" s="14"/>
      <c r="C13" s="14"/>
      <c r="D13" s="14"/>
      <c r="E13" s="14"/>
      <c r="F13" s="14"/>
      <c r="G13" s="14">
        <f t="shared" si="1"/>
        <v>0</v>
      </c>
      <c r="H13" s="14">
        <f t="shared" si="2"/>
        <v>0</v>
      </c>
    </row>
    <row r="14" ht="14.25" customHeight="1">
      <c r="A14" s="47"/>
      <c r="B14" s="14"/>
      <c r="C14" s="14"/>
      <c r="D14" s="14"/>
      <c r="E14" s="14"/>
      <c r="F14" s="14"/>
      <c r="G14" s="14">
        <f t="shared" si="1"/>
        <v>0</v>
      </c>
      <c r="H14" s="14">
        <f t="shared" si="2"/>
        <v>0</v>
      </c>
    </row>
    <row r="15" ht="14.25" customHeight="1">
      <c r="A15" s="47"/>
      <c r="B15" s="14"/>
      <c r="C15" s="14"/>
      <c r="D15" s="14"/>
      <c r="E15" s="14"/>
      <c r="F15" s="14"/>
      <c r="G15" s="14">
        <f t="shared" si="1"/>
        <v>0</v>
      </c>
      <c r="H15" s="14">
        <f t="shared" si="2"/>
        <v>0</v>
      </c>
    </row>
    <row r="16" ht="14.25" customHeight="1">
      <c r="A16" s="47"/>
      <c r="B16" s="14"/>
      <c r="C16" s="14"/>
      <c r="D16" s="14"/>
      <c r="E16" s="14"/>
      <c r="F16" s="14"/>
      <c r="G16" s="14">
        <f t="shared" si="1"/>
        <v>0</v>
      </c>
      <c r="H16" s="14">
        <f t="shared" si="2"/>
        <v>0</v>
      </c>
    </row>
    <row r="17" ht="14.25" customHeight="1">
      <c r="A17" s="47"/>
      <c r="B17" s="14"/>
      <c r="C17" s="14"/>
      <c r="D17" s="14"/>
      <c r="E17" s="14"/>
      <c r="F17" s="14"/>
      <c r="G17" s="14">
        <f t="shared" si="1"/>
        <v>0</v>
      </c>
      <c r="H17" s="14">
        <f t="shared" si="2"/>
        <v>0</v>
      </c>
    </row>
    <row r="18" ht="14.25" customHeight="1">
      <c r="A18" s="47"/>
      <c r="B18" s="14"/>
      <c r="C18" s="14"/>
      <c r="D18" s="14"/>
      <c r="E18" s="14"/>
      <c r="F18" s="14"/>
      <c r="G18" s="14">
        <f t="shared" si="1"/>
        <v>0</v>
      </c>
      <c r="H18" s="14">
        <f t="shared" si="2"/>
        <v>0</v>
      </c>
    </row>
    <row r="19" ht="14.25" customHeight="1">
      <c r="A19" s="47"/>
      <c r="B19" s="14"/>
      <c r="C19" s="14"/>
      <c r="D19" s="14"/>
      <c r="E19" s="14"/>
      <c r="F19" s="14"/>
      <c r="G19" s="14">
        <f t="shared" si="1"/>
        <v>0</v>
      </c>
      <c r="H19" s="14">
        <f t="shared" si="2"/>
        <v>0</v>
      </c>
    </row>
    <row r="20" ht="14.25" customHeight="1">
      <c r="A20" s="47"/>
      <c r="B20" s="14"/>
      <c r="C20" s="14"/>
      <c r="D20" s="14"/>
      <c r="E20" s="14"/>
      <c r="F20" s="14"/>
      <c r="G20" s="14">
        <f t="shared" si="1"/>
        <v>0</v>
      </c>
      <c r="H20" s="14">
        <f t="shared" si="2"/>
        <v>0</v>
      </c>
    </row>
    <row r="21" ht="14.25" customHeight="1">
      <c r="A21" s="47"/>
      <c r="B21" s="14"/>
      <c r="C21" s="14"/>
      <c r="D21" s="14"/>
      <c r="E21" s="14"/>
      <c r="F21" s="14"/>
      <c r="G21" s="14">
        <f t="shared" si="1"/>
        <v>0</v>
      </c>
      <c r="H21" s="14">
        <f t="shared" si="2"/>
        <v>0</v>
      </c>
    </row>
    <row r="22" ht="14.25" customHeight="1">
      <c r="A22" s="47"/>
      <c r="B22" s="14"/>
      <c r="C22" s="14"/>
      <c r="D22" s="14"/>
      <c r="E22" s="14"/>
      <c r="F22" s="14"/>
      <c r="G22" s="14">
        <f t="shared" si="1"/>
        <v>0</v>
      </c>
      <c r="H22" s="14">
        <f t="shared" si="2"/>
        <v>0</v>
      </c>
    </row>
    <row r="23" ht="14.25" customHeight="1">
      <c r="A23" s="47"/>
      <c r="B23" s="14"/>
      <c r="C23" s="14"/>
      <c r="D23" s="14"/>
      <c r="E23" s="14"/>
      <c r="F23" s="14"/>
      <c r="G23" s="14">
        <f t="shared" si="1"/>
        <v>0</v>
      </c>
      <c r="H23" s="14">
        <f t="shared" si="2"/>
        <v>0</v>
      </c>
    </row>
    <row r="24" ht="14.25" customHeight="1">
      <c r="A24" s="47"/>
      <c r="B24" s="14"/>
      <c r="C24" s="14"/>
      <c r="D24" s="14"/>
      <c r="E24" s="14"/>
      <c r="F24" s="14"/>
      <c r="G24" s="14">
        <f t="shared" si="1"/>
        <v>0</v>
      </c>
      <c r="H24" s="14">
        <f t="shared" si="2"/>
        <v>0</v>
      </c>
    </row>
    <row r="25" ht="14.25" customHeight="1">
      <c r="A25" s="47"/>
      <c r="B25" s="14"/>
      <c r="C25" s="14"/>
      <c r="D25" s="14"/>
      <c r="E25" s="14"/>
      <c r="F25" s="14"/>
      <c r="G25" s="14">
        <f t="shared" si="1"/>
        <v>0</v>
      </c>
      <c r="H25" s="14">
        <f t="shared" si="2"/>
        <v>0</v>
      </c>
    </row>
    <row r="26" ht="14.25" customHeight="1">
      <c r="A26" s="47"/>
      <c r="B26" s="14"/>
      <c r="C26" s="14"/>
      <c r="D26" s="14"/>
      <c r="E26" s="14"/>
      <c r="F26" s="14"/>
      <c r="G26" s="14">
        <f t="shared" si="1"/>
        <v>0</v>
      </c>
      <c r="H26" s="14">
        <f t="shared" si="2"/>
        <v>0</v>
      </c>
    </row>
    <row r="27" ht="14.25" customHeight="1">
      <c r="A27" s="47"/>
      <c r="B27" s="14"/>
      <c r="C27" s="14"/>
      <c r="D27" s="14"/>
      <c r="E27" s="14"/>
      <c r="F27" s="14"/>
      <c r="G27" s="14">
        <f t="shared" si="1"/>
        <v>0</v>
      </c>
      <c r="H27" s="14">
        <f t="shared" si="2"/>
        <v>0</v>
      </c>
    </row>
    <row r="28" ht="14.25" customHeight="1">
      <c r="A28" s="47"/>
      <c r="B28" s="14"/>
      <c r="C28" s="14"/>
      <c r="D28" s="14"/>
      <c r="E28" s="14"/>
      <c r="F28" s="14"/>
      <c r="G28" s="14">
        <f t="shared" si="1"/>
        <v>0</v>
      </c>
      <c r="H28" s="14">
        <f t="shared" si="2"/>
        <v>0</v>
      </c>
    </row>
    <row r="29" ht="14.25" customHeight="1">
      <c r="A29" s="47"/>
      <c r="B29" s="14"/>
      <c r="C29" s="14"/>
      <c r="D29" s="14"/>
      <c r="E29" s="14"/>
      <c r="F29" s="14"/>
      <c r="G29" s="14">
        <f t="shared" si="1"/>
        <v>0</v>
      </c>
      <c r="H29" s="14">
        <f t="shared" si="2"/>
        <v>0</v>
      </c>
    </row>
    <row r="30" ht="14.25" customHeight="1">
      <c r="A30" s="47"/>
      <c r="B30" s="14"/>
      <c r="C30" s="14"/>
      <c r="D30" s="14"/>
      <c r="E30" s="14"/>
      <c r="F30" s="14"/>
      <c r="G30" s="14">
        <f t="shared" si="1"/>
        <v>0</v>
      </c>
      <c r="H30" s="14">
        <f t="shared" si="2"/>
        <v>0</v>
      </c>
    </row>
    <row r="31" ht="14.25" customHeight="1">
      <c r="A31" s="47"/>
      <c r="B31" s="14"/>
      <c r="C31" s="14"/>
      <c r="D31" s="14"/>
      <c r="E31" s="14"/>
      <c r="F31" s="14"/>
      <c r="G31" s="14">
        <f t="shared" si="1"/>
        <v>0</v>
      </c>
      <c r="H31" s="14">
        <f t="shared" si="2"/>
        <v>0</v>
      </c>
    </row>
    <row r="32" ht="14.25" customHeight="1">
      <c r="A32" s="47"/>
      <c r="B32" s="14"/>
      <c r="C32" s="14"/>
      <c r="D32" s="14"/>
      <c r="E32" s="14"/>
      <c r="F32" s="14"/>
      <c r="G32" s="14">
        <f t="shared" si="1"/>
        <v>0</v>
      </c>
      <c r="H32" s="14">
        <f t="shared" si="2"/>
        <v>0</v>
      </c>
    </row>
    <row r="33" ht="14.25" customHeight="1">
      <c r="A33" s="47"/>
      <c r="B33" s="14"/>
      <c r="C33" s="14"/>
      <c r="D33" s="14"/>
      <c r="E33" s="14"/>
      <c r="F33" s="14"/>
      <c r="G33" s="14">
        <f t="shared" si="1"/>
        <v>0</v>
      </c>
      <c r="H33" s="14">
        <f t="shared" si="2"/>
        <v>0</v>
      </c>
    </row>
    <row r="34" ht="14.25" customHeight="1">
      <c r="A34" s="47"/>
      <c r="B34" s="14"/>
      <c r="C34" s="14"/>
      <c r="D34" s="14"/>
      <c r="E34" s="14"/>
      <c r="F34" s="14"/>
      <c r="G34" s="14">
        <f t="shared" si="1"/>
        <v>0</v>
      </c>
      <c r="H34" s="14">
        <f t="shared" si="2"/>
        <v>0</v>
      </c>
    </row>
    <row r="35" ht="14.25" customHeight="1">
      <c r="A35" s="47"/>
      <c r="B35" s="14"/>
      <c r="C35" s="14"/>
      <c r="D35" s="14"/>
      <c r="E35" s="14"/>
      <c r="F35" s="14"/>
      <c r="G35" s="14">
        <f t="shared" si="1"/>
        <v>0</v>
      </c>
      <c r="H35" s="14">
        <f t="shared" si="2"/>
        <v>0</v>
      </c>
    </row>
    <row r="36" ht="14.25" customHeight="1">
      <c r="A36" s="47"/>
      <c r="B36" s="14"/>
      <c r="C36" s="14"/>
      <c r="D36" s="14"/>
      <c r="E36" s="14"/>
      <c r="F36" s="14"/>
      <c r="G36" s="14">
        <f t="shared" si="1"/>
        <v>0</v>
      </c>
      <c r="H36" s="14">
        <f t="shared" si="2"/>
        <v>0</v>
      </c>
    </row>
    <row r="37" ht="14.25" customHeight="1">
      <c r="A37" s="47"/>
      <c r="B37" s="14"/>
      <c r="C37" s="14"/>
      <c r="D37" s="14"/>
      <c r="E37" s="14"/>
      <c r="F37" s="14"/>
      <c r="G37" s="14">
        <f t="shared" si="1"/>
        <v>0</v>
      </c>
      <c r="H37" s="14">
        <f t="shared" si="2"/>
        <v>0</v>
      </c>
    </row>
    <row r="38" ht="14.25" customHeight="1">
      <c r="A38" s="47"/>
      <c r="B38" s="14"/>
      <c r="C38" s="14"/>
      <c r="D38" s="14"/>
      <c r="E38" s="14"/>
      <c r="F38" s="14"/>
      <c r="G38" s="14">
        <f t="shared" si="1"/>
        <v>0</v>
      </c>
      <c r="H38" s="14">
        <f t="shared" si="2"/>
        <v>0</v>
      </c>
    </row>
    <row r="39" ht="14.25" customHeight="1">
      <c r="A39" s="47"/>
      <c r="B39" s="14"/>
      <c r="C39" s="14"/>
      <c r="D39" s="14"/>
      <c r="E39" s="14"/>
      <c r="F39" s="14"/>
      <c r="G39" s="14">
        <f t="shared" si="1"/>
        <v>0</v>
      </c>
      <c r="H39" s="14">
        <f t="shared" si="2"/>
        <v>0</v>
      </c>
    </row>
    <row r="40" ht="14.25" customHeight="1">
      <c r="A40" s="47"/>
      <c r="B40" s="14"/>
      <c r="C40" s="14"/>
      <c r="D40" s="14"/>
      <c r="E40" s="14"/>
      <c r="F40" s="14"/>
      <c r="G40" s="14">
        <f t="shared" si="1"/>
        <v>0</v>
      </c>
      <c r="H40" s="14">
        <f t="shared" si="2"/>
        <v>0</v>
      </c>
    </row>
    <row r="41" ht="14.25" customHeight="1">
      <c r="A41" s="47"/>
      <c r="B41" s="14"/>
      <c r="C41" s="14"/>
      <c r="D41" s="14"/>
      <c r="E41" s="14"/>
      <c r="F41" s="14"/>
      <c r="G41" s="14">
        <f t="shared" si="1"/>
        <v>0</v>
      </c>
      <c r="H41" s="14">
        <f t="shared" si="2"/>
        <v>0</v>
      </c>
    </row>
    <row r="42" ht="14.25" customHeight="1">
      <c r="A42" s="47"/>
      <c r="B42" s="14"/>
      <c r="C42" s="14"/>
      <c r="D42" s="14"/>
      <c r="E42" s="14"/>
      <c r="F42" s="14"/>
      <c r="G42" s="14">
        <f t="shared" si="1"/>
        <v>0</v>
      </c>
      <c r="H42" s="14">
        <f t="shared" si="2"/>
        <v>0</v>
      </c>
    </row>
    <row r="43" ht="14.25" customHeight="1">
      <c r="A43" s="47"/>
      <c r="B43" s="14"/>
      <c r="C43" s="14"/>
      <c r="D43" s="14"/>
      <c r="E43" s="14"/>
      <c r="F43" s="14"/>
      <c r="G43" s="14">
        <f t="shared" si="1"/>
        <v>0</v>
      </c>
      <c r="H43" s="14">
        <f t="shared" si="2"/>
        <v>0</v>
      </c>
    </row>
    <row r="44" ht="14.25" customHeight="1">
      <c r="A44" s="47"/>
      <c r="B44" s="14"/>
      <c r="C44" s="14"/>
      <c r="D44" s="14"/>
      <c r="E44" s="14"/>
      <c r="F44" s="14"/>
      <c r="G44" s="14">
        <f t="shared" si="1"/>
        <v>0</v>
      </c>
      <c r="H44" s="14">
        <f t="shared" si="2"/>
        <v>0</v>
      </c>
    </row>
    <row r="45" ht="14.25" customHeight="1">
      <c r="A45" s="47"/>
      <c r="B45" s="14"/>
      <c r="C45" s="14"/>
      <c r="D45" s="14"/>
      <c r="E45" s="14"/>
      <c r="F45" s="14"/>
      <c r="G45" s="14">
        <f t="shared" si="1"/>
        <v>0</v>
      </c>
      <c r="H45" s="14">
        <f t="shared" si="2"/>
        <v>0</v>
      </c>
    </row>
    <row r="46" ht="14.25" customHeight="1">
      <c r="A46" s="47"/>
      <c r="B46" s="14"/>
      <c r="C46" s="14"/>
      <c r="D46" s="14"/>
      <c r="E46" s="14"/>
      <c r="F46" s="14"/>
      <c r="G46" s="14">
        <f t="shared" si="1"/>
        <v>0</v>
      </c>
      <c r="H46" s="14">
        <f t="shared" si="2"/>
        <v>0</v>
      </c>
    </row>
    <row r="47" ht="14.25" customHeight="1">
      <c r="A47" s="47"/>
      <c r="B47" s="14"/>
      <c r="C47" s="14"/>
      <c r="D47" s="14"/>
      <c r="E47" s="14"/>
      <c r="F47" s="14"/>
      <c r="G47" s="14">
        <f t="shared" si="1"/>
        <v>0</v>
      </c>
      <c r="H47" s="14">
        <f t="shared" si="2"/>
        <v>0</v>
      </c>
    </row>
    <row r="48" ht="14.25" customHeight="1">
      <c r="A48" s="47"/>
      <c r="B48" s="14"/>
      <c r="C48" s="14"/>
      <c r="D48" s="14"/>
      <c r="E48" s="14"/>
      <c r="F48" s="14"/>
      <c r="G48" s="14">
        <f t="shared" si="1"/>
        <v>0</v>
      </c>
      <c r="H48" s="14">
        <f t="shared" si="2"/>
        <v>0</v>
      </c>
    </row>
    <row r="49" ht="14.25" customHeight="1">
      <c r="A49" s="47"/>
      <c r="B49" s="14"/>
      <c r="C49" s="14"/>
      <c r="D49" s="14"/>
      <c r="E49" s="14"/>
      <c r="F49" s="14"/>
      <c r="G49" s="14">
        <f t="shared" si="1"/>
        <v>0</v>
      </c>
      <c r="H49" s="14">
        <f t="shared" si="2"/>
        <v>0</v>
      </c>
    </row>
    <row r="50" ht="14.25" customHeight="1">
      <c r="A50" s="47"/>
      <c r="B50" s="14"/>
      <c r="C50" s="14"/>
      <c r="D50" s="14"/>
      <c r="E50" s="14"/>
      <c r="F50" s="14"/>
      <c r="G50" s="14">
        <f t="shared" si="1"/>
        <v>0</v>
      </c>
      <c r="H50" s="14">
        <f t="shared" si="2"/>
        <v>0</v>
      </c>
    </row>
    <row r="51" ht="14.25" customHeight="1">
      <c r="A51" s="47"/>
      <c r="B51" s="14"/>
      <c r="C51" s="14"/>
      <c r="D51" s="14"/>
      <c r="E51" s="14"/>
      <c r="F51" s="14"/>
      <c r="G51" s="14">
        <f t="shared" si="1"/>
        <v>0</v>
      </c>
      <c r="H51" s="14">
        <f t="shared" si="2"/>
        <v>0</v>
      </c>
    </row>
    <row r="52" ht="14.25" customHeight="1">
      <c r="A52" s="47"/>
      <c r="B52" s="14"/>
      <c r="C52" s="14"/>
      <c r="D52" s="14"/>
      <c r="E52" s="14"/>
      <c r="F52" s="14"/>
      <c r="G52" s="14">
        <f t="shared" si="1"/>
        <v>0</v>
      </c>
      <c r="H52" s="14">
        <f t="shared" si="2"/>
        <v>0</v>
      </c>
    </row>
    <row r="53" ht="14.25" customHeight="1">
      <c r="A53" s="47"/>
      <c r="B53" s="14"/>
      <c r="C53" s="14"/>
      <c r="D53" s="14"/>
      <c r="E53" s="14"/>
      <c r="F53" s="14"/>
      <c r="G53" s="14">
        <f t="shared" si="1"/>
        <v>0</v>
      </c>
      <c r="H53" s="14">
        <f t="shared" si="2"/>
        <v>0</v>
      </c>
    </row>
    <row r="54" ht="14.25" customHeight="1">
      <c r="A54" s="47"/>
      <c r="B54" s="14"/>
      <c r="C54" s="14"/>
      <c r="D54" s="14"/>
      <c r="E54" s="14"/>
      <c r="F54" s="14"/>
      <c r="G54" s="14">
        <f t="shared" si="1"/>
        <v>0</v>
      </c>
      <c r="H54" s="14">
        <f t="shared" si="2"/>
        <v>0</v>
      </c>
    </row>
    <row r="55" ht="14.25" customHeight="1">
      <c r="A55" s="47"/>
      <c r="B55" s="14"/>
      <c r="C55" s="14"/>
      <c r="D55" s="14"/>
      <c r="E55" s="14"/>
      <c r="F55" s="14"/>
      <c r="G55" s="14">
        <f t="shared" si="1"/>
        <v>0</v>
      </c>
      <c r="H55" s="14">
        <f t="shared" si="2"/>
        <v>0</v>
      </c>
    </row>
    <row r="56" ht="14.25" customHeight="1">
      <c r="A56" s="47"/>
      <c r="B56" s="14"/>
      <c r="C56" s="14"/>
      <c r="D56" s="14"/>
      <c r="E56" s="14"/>
      <c r="F56" s="14"/>
      <c r="G56" s="14">
        <f t="shared" si="1"/>
        <v>0</v>
      </c>
      <c r="H56" s="14">
        <f t="shared" si="2"/>
        <v>0</v>
      </c>
    </row>
    <row r="57" ht="14.25" customHeight="1">
      <c r="A57" s="47"/>
      <c r="B57" s="14"/>
      <c r="C57" s="14"/>
      <c r="D57" s="14"/>
      <c r="E57" s="14"/>
      <c r="F57" s="14"/>
      <c r="G57" s="14">
        <f t="shared" si="1"/>
        <v>0</v>
      </c>
      <c r="H57" s="14">
        <f t="shared" si="2"/>
        <v>0</v>
      </c>
    </row>
    <row r="58" ht="14.25" customHeight="1">
      <c r="A58" s="47"/>
      <c r="B58" s="14"/>
      <c r="C58" s="14"/>
      <c r="D58" s="14"/>
      <c r="E58" s="14"/>
      <c r="F58" s="14"/>
      <c r="G58" s="14">
        <f t="shared" si="1"/>
        <v>0</v>
      </c>
      <c r="H58" s="14">
        <f t="shared" si="2"/>
        <v>0</v>
      </c>
    </row>
    <row r="59" ht="14.25" customHeight="1">
      <c r="A59" s="47"/>
      <c r="B59" s="14"/>
      <c r="C59" s="14"/>
      <c r="D59" s="14"/>
      <c r="E59" s="14"/>
      <c r="F59" s="14"/>
      <c r="G59" s="14">
        <f t="shared" si="1"/>
        <v>0</v>
      </c>
      <c r="H59" s="14">
        <f t="shared" si="2"/>
        <v>0</v>
      </c>
    </row>
    <row r="60" ht="14.25" customHeight="1">
      <c r="A60" s="47"/>
      <c r="B60" s="14"/>
      <c r="C60" s="14"/>
      <c r="D60" s="14"/>
      <c r="E60" s="14"/>
      <c r="F60" s="14"/>
      <c r="G60" s="14">
        <f t="shared" si="1"/>
        <v>0</v>
      </c>
      <c r="H60" s="14">
        <f t="shared" si="2"/>
        <v>0</v>
      </c>
    </row>
    <row r="61" ht="14.25" customHeight="1">
      <c r="A61" s="47"/>
      <c r="B61" s="14"/>
      <c r="C61" s="14"/>
      <c r="D61" s="14"/>
      <c r="E61" s="14"/>
      <c r="F61" s="14"/>
      <c r="G61" s="14">
        <f t="shared" si="1"/>
        <v>0</v>
      </c>
      <c r="H61" s="14">
        <f t="shared" si="2"/>
        <v>0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8.0"/>
    <col customWidth="1" min="3" max="3" width="40.57"/>
    <col customWidth="1" min="4" max="4" width="12.0"/>
    <col customWidth="1" min="5" max="5" width="14.0"/>
    <col customWidth="1" min="6" max="6" width="15.29"/>
    <col customWidth="1" min="7" max="7" width="20.0"/>
    <col customWidth="1" min="8" max="8" width="25.0"/>
    <col customWidth="1" min="9" max="10" width="8.71"/>
    <col customWidth="1" min="11" max="11" width="12.14"/>
    <col customWidth="1" min="12" max="26" width="8.71"/>
  </cols>
  <sheetData>
    <row r="1" ht="14.25" customHeight="1">
      <c r="A1" s="43" t="s">
        <v>388</v>
      </c>
      <c r="B1" s="43" t="s">
        <v>184</v>
      </c>
      <c r="C1" s="43" t="s">
        <v>185</v>
      </c>
      <c r="D1" s="43" t="s">
        <v>186</v>
      </c>
      <c r="E1" s="43" t="s">
        <v>187</v>
      </c>
      <c r="F1" s="43" t="s">
        <v>397</v>
      </c>
      <c r="G1" s="43" t="s">
        <v>398</v>
      </c>
      <c r="H1" s="43" t="s">
        <v>191</v>
      </c>
      <c r="K1" s="5" t="s">
        <v>399</v>
      </c>
    </row>
    <row r="2" ht="14.25" customHeight="1">
      <c r="A2" s="44">
        <v>46067.0</v>
      </c>
      <c r="B2" s="48" t="str">
        <f>Inventario!A76</f>
        <v>CHA-VERNEG-M</v>
      </c>
      <c r="C2" s="5" t="str">
        <f>IFERROR(VLOOKUP(B2,Inventario!A:C,2,FALSE()),"")</f>
        <v>Chaqueta Cortavientos M Verde Botella/Negro</v>
      </c>
      <c r="D2" s="14">
        <f>IFERROR(VLOOKUP(B2,Inventario!A:C,3,FALSE()),"")</f>
        <v>40000</v>
      </c>
      <c r="E2" s="14">
        <f>IFERROR(VLOOKUP(B2,Inventario!A:D,4,FALSE()),"")</f>
        <v>120000</v>
      </c>
      <c r="F2" s="12" t="s">
        <v>400</v>
      </c>
      <c r="G2" s="46" t="s">
        <v>401</v>
      </c>
      <c r="K2" s="5" t="s">
        <v>400</v>
      </c>
    </row>
    <row r="3" ht="14.25" customHeight="1">
      <c r="A3" s="44">
        <v>46067.0</v>
      </c>
      <c r="B3" s="48" t="str">
        <f>Inventario!A38</f>
        <v>HOOD-ACID-L</v>
      </c>
      <c r="C3" s="5" t="str">
        <f>IFERROR(VLOOKUP(B3,Inventario!A:C,2,FALSE()),"")</f>
        <v>Hoodie L Acid Wash Gris</v>
      </c>
      <c r="D3" s="14">
        <f>IFERROR(VLOOKUP(B3,Inventario!A:C,3,FALSE()),"")</f>
        <v>120000</v>
      </c>
      <c r="E3" s="14">
        <f>IFERROR(VLOOKUP(B3,Inventario!A:D,4,FALSE()),"")</f>
        <v>200000</v>
      </c>
      <c r="F3" s="12" t="s">
        <v>402</v>
      </c>
      <c r="G3" s="46" t="s">
        <v>403</v>
      </c>
      <c r="H3" s="46" t="s">
        <v>404</v>
      </c>
      <c r="K3" s="5" t="s">
        <v>405</v>
      </c>
    </row>
    <row r="4" ht="14.25" customHeight="1">
      <c r="A4" s="47"/>
      <c r="C4" s="5" t="str">
        <f>IFERROR(VLOOKUP(B4,Inventario!A:C,2,FALSE()),"")</f>
        <v/>
      </c>
      <c r="D4" s="14" t="str">
        <f>IFERROR(VLOOKUP(B4,Inventario!A:C,3,FALSE()),"")</f>
        <v/>
      </c>
      <c r="E4" s="14" t="str">
        <f>IFERROR(VLOOKUP(B4,Inventario!A:D,4,FALSE()),"")</f>
        <v/>
      </c>
      <c r="F4" s="5"/>
      <c r="K4" s="46" t="s">
        <v>402</v>
      </c>
    </row>
    <row r="5" ht="14.25" customHeight="1">
      <c r="A5" s="47"/>
      <c r="C5" s="5" t="str">
        <f>IFERROR(VLOOKUP(B5,Inventario!A:C,2,FALSE()),"")</f>
        <v/>
      </c>
      <c r="D5" s="14" t="str">
        <f>IFERROR(VLOOKUP(B5,Inventario!A:C,3,FALSE()),"")</f>
        <v/>
      </c>
      <c r="E5" s="14" t="str">
        <f>IFERROR(VLOOKUP(B5,Inventario!A:D,4,FALSE()),"")</f>
        <v/>
      </c>
      <c r="F5" s="5"/>
    </row>
    <row r="6" ht="14.25" customHeight="1">
      <c r="A6" s="47"/>
      <c r="C6" s="5" t="str">
        <f>IFERROR(VLOOKUP(B6,Inventario!A:C,2,FALSE()),"")</f>
        <v/>
      </c>
      <c r="D6" s="14" t="str">
        <f>IFERROR(VLOOKUP(B6,Inventario!A:C,3,FALSE()),"")</f>
        <v/>
      </c>
      <c r="E6" s="14" t="str">
        <f>IFERROR(VLOOKUP(B6,Inventario!A:D,4,FALSE()),"")</f>
        <v/>
      </c>
      <c r="F6" s="5"/>
    </row>
    <row r="7" ht="14.25" customHeight="1">
      <c r="A7" s="47"/>
      <c r="C7" s="5" t="str">
        <f>IFERROR(VLOOKUP(B7,Inventario!A:C,2,FALSE()),"")</f>
        <v/>
      </c>
      <c r="D7" s="14" t="str">
        <f>IFERROR(VLOOKUP(B7,Inventario!A:C,3,FALSE()),"")</f>
        <v/>
      </c>
      <c r="E7" s="14" t="str">
        <f>IFERROR(VLOOKUP(B7,Inventario!A:D,4,FALSE()),"")</f>
        <v/>
      </c>
      <c r="F7" s="5"/>
    </row>
    <row r="8" ht="14.25" customHeight="1">
      <c r="A8" s="47"/>
      <c r="C8" s="5" t="str">
        <f>IFERROR(VLOOKUP(B8,Inventario!A:C,2,FALSE()),"")</f>
        <v/>
      </c>
      <c r="D8" s="14" t="str">
        <f>IFERROR(VLOOKUP(B8,Inventario!A:C,3,FALSE()),"")</f>
        <v/>
      </c>
      <c r="E8" s="14" t="str">
        <f>IFERROR(VLOOKUP(B8,Inventario!A:D,4,FALSE()),"")</f>
        <v/>
      </c>
      <c r="F8" s="5"/>
    </row>
    <row r="9" ht="14.25" customHeight="1">
      <c r="A9" s="47"/>
      <c r="C9" s="5" t="str">
        <f>IFERROR(VLOOKUP(B9,Inventario!A:C,2,FALSE()),"")</f>
        <v/>
      </c>
      <c r="D9" s="14" t="str">
        <f>IFERROR(VLOOKUP(B9,Inventario!A:C,3,FALSE()),"")</f>
        <v/>
      </c>
      <c r="E9" s="14" t="str">
        <f>IFERROR(VLOOKUP(B9,Inventario!A:D,4,FALSE()),"")</f>
        <v/>
      </c>
      <c r="F9" s="5"/>
    </row>
    <row r="10" ht="14.25" customHeight="1">
      <c r="A10" s="47"/>
      <c r="C10" s="5" t="str">
        <f>IFERROR(VLOOKUP(B10,Inventario!A:C,2,FALSE()),"")</f>
        <v/>
      </c>
      <c r="D10" s="14" t="str">
        <f>IFERROR(VLOOKUP(B10,Inventario!A:C,3,FALSE()),"")</f>
        <v/>
      </c>
      <c r="E10" s="14" t="str">
        <f>IFERROR(VLOOKUP(B10,Inventario!A:D,4,FALSE()),"")</f>
        <v/>
      </c>
      <c r="F10" s="5"/>
    </row>
    <row r="11" ht="14.25" customHeight="1">
      <c r="A11" s="47"/>
      <c r="C11" s="5" t="str">
        <f>IFERROR(VLOOKUP(B11,Inventario!A:C,2,FALSE()),"")</f>
        <v/>
      </c>
      <c r="D11" s="14" t="str">
        <f>IFERROR(VLOOKUP(B11,Inventario!A:C,3,FALSE()),"")</f>
        <v/>
      </c>
      <c r="E11" s="14" t="str">
        <f>IFERROR(VLOOKUP(B11,Inventario!A:D,4,FALSE()),"")</f>
        <v/>
      </c>
      <c r="F11" s="5"/>
    </row>
    <row r="12" ht="14.25" customHeight="1">
      <c r="A12" s="47"/>
      <c r="C12" s="5" t="str">
        <f>IFERROR(VLOOKUP(B12,Inventario!A:C,2,FALSE()),"")</f>
        <v/>
      </c>
      <c r="D12" s="14" t="str">
        <f>IFERROR(VLOOKUP(B12,Inventario!A:C,3,FALSE()),"")</f>
        <v/>
      </c>
      <c r="E12" s="14" t="str">
        <f>IFERROR(VLOOKUP(B12,Inventario!A:D,4,FALSE()),"")</f>
        <v/>
      </c>
      <c r="F12" s="5"/>
    </row>
    <row r="13" ht="14.25" customHeight="1">
      <c r="A13" s="47"/>
      <c r="C13" s="5" t="str">
        <f>IFERROR(VLOOKUP(B13,Inventario!A:C,2,FALSE()),"")</f>
        <v/>
      </c>
      <c r="D13" s="14" t="str">
        <f>IFERROR(VLOOKUP(B13,Inventario!A:C,3,FALSE()),"")</f>
        <v/>
      </c>
      <c r="E13" s="14" t="str">
        <f>IFERROR(VLOOKUP(B13,Inventario!A:D,4,FALSE()),"")</f>
        <v/>
      </c>
      <c r="F13" s="5"/>
    </row>
    <row r="14" ht="14.25" customHeight="1">
      <c r="A14" s="47"/>
      <c r="C14" s="5" t="str">
        <f>IFERROR(VLOOKUP(B14,Inventario!A:C,2,FALSE()),"")</f>
        <v/>
      </c>
      <c r="D14" s="14" t="str">
        <f>IFERROR(VLOOKUP(B14,Inventario!A:C,3,FALSE()),"")</f>
        <v/>
      </c>
      <c r="E14" s="14" t="str">
        <f>IFERROR(VLOOKUP(B14,Inventario!A:D,4,FALSE()),"")</f>
        <v/>
      </c>
      <c r="F14" s="5"/>
    </row>
    <row r="15" ht="14.25" customHeight="1">
      <c r="A15" s="47"/>
      <c r="C15" s="5" t="str">
        <f>IFERROR(VLOOKUP(B15,Inventario!A:C,2,FALSE()),"")</f>
        <v/>
      </c>
      <c r="D15" s="14" t="str">
        <f>IFERROR(VLOOKUP(B15,Inventario!A:C,3,FALSE()),"")</f>
        <v/>
      </c>
      <c r="E15" s="14" t="str">
        <f>IFERROR(VLOOKUP(B15,Inventario!A:D,4,FALSE()),"")</f>
        <v/>
      </c>
      <c r="F15" s="5"/>
    </row>
    <row r="16" ht="14.25" customHeight="1">
      <c r="A16" s="47"/>
      <c r="C16" s="5" t="str">
        <f>IFERROR(VLOOKUP(B16,Inventario!A:C,2,FALSE()),"")</f>
        <v/>
      </c>
      <c r="D16" s="14" t="str">
        <f>IFERROR(VLOOKUP(B16,Inventario!A:C,3,FALSE()),"")</f>
        <v/>
      </c>
      <c r="E16" s="14" t="str">
        <f>IFERROR(VLOOKUP(B16,Inventario!A:D,4,FALSE()),"")</f>
        <v/>
      </c>
      <c r="F16" s="5"/>
    </row>
    <row r="17" ht="14.25" customHeight="1">
      <c r="A17" s="47"/>
      <c r="C17" s="5" t="str">
        <f>IFERROR(VLOOKUP(B17,Inventario!A:C,2,FALSE()),"")</f>
        <v/>
      </c>
      <c r="D17" s="14" t="str">
        <f>IFERROR(VLOOKUP(B17,Inventario!A:C,3,FALSE()),"")</f>
        <v/>
      </c>
      <c r="E17" s="14" t="str">
        <f>IFERROR(VLOOKUP(B17,Inventario!A:D,4,FALSE()),"")</f>
        <v/>
      </c>
      <c r="F17" s="5"/>
    </row>
    <row r="18" ht="14.25" customHeight="1">
      <c r="A18" s="47"/>
      <c r="C18" s="5" t="str">
        <f>IFERROR(VLOOKUP(B18,Inventario!A:C,2,FALSE()),"")</f>
        <v/>
      </c>
      <c r="D18" s="14" t="str">
        <f>IFERROR(VLOOKUP(B18,Inventario!A:C,3,FALSE()),"")</f>
        <v/>
      </c>
      <c r="E18" s="14" t="str">
        <f>IFERROR(VLOOKUP(B18,Inventario!A:D,4,FALSE()),"")</f>
        <v/>
      </c>
      <c r="F18" s="5"/>
    </row>
    <row r="19" ht="14.25" customHeight="1">
      <c r="A19" s="47"/>
      <c r="C19" s="5" t="str">
        <f>IFERROR(VLOOKUP(B19,Inventario!A:C,2,FALSE()),"")</f>
        <v/>
      </c>
      <c r="D19" s="14" t="str">
        <f>IFERROR(VLOOKUP(B19,Inventario!A:C,3,FALSE()),"")</f>
        <v/>
      </c>
      <c r="E19" s="14" t="str">
        <f>IFERROR(VLOOKUP(B19,Inventario!A:D,4,FALSE()),"")</f>
        <v/>
      </c>
      <c r="F19" s="5"/>
    </row>
    <row r="20" ht="14.25" customHeight="1">
      <c r="A20" s="47"/>
      <c r="C20" s="5" t="str">
        <f>IFERROR(VLOOKUP(B20,Inventario!A:C,2,FALSE()),"")</f>
        <v/>
      </c>
      <c r="D20" s="14" t="str">
        <f>IFERROR(VLOOKUP(B20,Inventario!A:C,3,FALSE()),"")</f>
        <v/>
      </c>
      <c r="E20" s="14" t="str">
        <f>IFERROR(VLOOKUP(B20,Inventario!A:D,4,FALSE()),"")</f>
        <v/>
      </c>
      <c r="F20" s="5"/>
    </row>
    <row r="21" ht="14.25" customHeight="1">
      <c r="A21" s="47"/>
      <c r="C21" s="5" t="str">
        <f>IFERROR(VLOOKUP(B21,Inventario!A:C,2,FALSE()),"")</f>
        <v/>
      </c>
      <c r="D21" s="14" t="str">
        <f>IFERROR(VLOOKUP(B21,Inventario!A:C,3,FALSE()),"")</f>
        <v/>
      </c>
      <c r="E21" s="14" t="str">
        <f>IFERROR(VLOOKUP(B21,Inventario!A:D,4,FALSE()),"")</f>
        <v/>
      </c>
      <c r="F21" s="5"/>
    </row>
    <row r="22" ht="14.25" customHeight="1">
      <c r="A22" s="47"/>
      <c r="C22" s="5" t="str">
        <f>IFERROR(VLOOKUP(B22,Inventario!A:C,2,FALSE()),"")</f>
        <v/>
      </c>
      <c r="D22" s="14" t="str">
        <f>IFERROR(VLOOKUP(B22,Inventario!A:C,3,FALSE()),"")</f>
        <v/>
      </c>
      <c r="E22" s="14" t="str">
        <f>IFERROR(VLOOKUP(B22,Inventario!A:D,4,FALSE()),"")</f>
        <v/>
      </c>
      <c r="F22" s="5"/>
    </row>
    <row r="23" ht="14.25" customHeight="1">
      <c r="A23" s="47"/>
      <c r="C23" s="5" t="str">
        <f>IFERROR(VLOOKUP(B23,Inventario!A:C,2,FALSE()),"")</f>
        <v/>
      </c>
      <c r="D23" s="14" t="str">
        <f>IFERROR(VLOOKUP(B23,Inventario!A:C,3,FALSE()),"")</f>
        <v/>
      </c>
      <c r="E23" s="14" t="str">
        <f>IFERROR(VLOOKUP(B23,Inventario!A:D,4,FALSE()),"")</f>
        <v/>
      </c>
      <c r="F23" s="5"/>
    </row>
    <row r="24" ht="14.25" customHeight="1">
      <c r="A24" s="47"/>
      <c r="C24" s="5" t="str">
        <f>IFERROR(VLOOKUP(B24,Inventario!A:C,2,FALSE()),"")</f>
        <v/>
      </c>
      <c r="D24" s="14" t="str">
        <f>IFERROR(VLOOKUP(B24,Inventario!A:C,3,FALSE()),"")</f>
        <v/>
      </c>
      <c r="E24" s="14" t="str">
        <f>IFERROR(VLOOKUP(B24,Inventario!A:D,4,FALSE()),"")</f>
        <v/>
      </c>
      <c r="F24" s="5"/>
    </row>
    <row r="25" ht="14.25" customHeight="1">
      <c r="A25" s="47"/>
      <c r="C25" s="5" t="str">
        <f>IFERROR(VLOOKUP(B25,Inventario!A:C,2,FALSE()),"")</f>
        <v/>
      </c>
      <c r="D25" s="14" t="str">
        <f>IFERROR(VLOOKUP(B25,Inventario!A:C,3,FALSE()),"")</f>
        <v/>
      </c>
      <c r="E25" s="14" t="str">
        <f>IFERROR(VLOOKUP(B25,Inventario!A:D,4,FALSE()),"")</f>
        <v/>
      </c>
      <c r="F25" s="5"/>
    </row>
    <row r="26" ht="14.25" customHeight="1">
      <c r="A26" s="47"/>
      <c r="C26" s="5" t="str">
        <f>IFERROR(VLOOKUP(B26,Inventario!A:C,2,FALSE()),"")</f>
        <v/>
      </c>
      <c r="D26" s="14" t="str">
        <f>IFERROR(VLOOKUP(B26,Inventario!A:C,3,FALSE()),"")</f>
        <v/>
      </c>
      <c r="E26" s="14" t="str">
        <f>IFERROR(VLOOKUP(B26,Inventario!A:D,4,FALSE()),"")</f>
        <v/>
      </c>
      <c r="F26" s="5"/>
    </row>
    <row r="27" ht="14.25" customHeight="1">
      <c r="A27" s="47"/>
      <c r="C27" s="5" t="str">
        <f>IFERROR(VLOOKUP(B27,Inventario!A:C,2,FALSE()),"")</f>
        <v/>
      </c>
      <c r="D27" s="14" t="str">
        <f>IFERROR(VLOOKUP(B27,Inventario!A:C,3,FALSE()),"")</f>
        <v/>
      </c>
      <c r="E27" s="14" t="str">
        <f>IFERROR(VLOOKUP(B27,Inventario!A:D,4,FALSE()),"")</f>
        <v/>
      </c>
      <c r="F27" s="5"/>
    </row>
    <row r="28" ht="14.25" customHeight="1">
      <c r="A28" s="47"/>
      <c r="C28" s="5" t="str">
        <f>IFERROR(VLOOKUP(B28,Inventario!A:C,2,FALSE()),"")</f>
        <v/>
      </c>
      <c r="D28" s="14" t="str">
        <f>IFERROR(VLOOKUP(B28,Inventario!A:C,3,FALSE()),"")</f>
        <v/>
      </c>
      <c r="E28" s="14" t="str">
        <f>IFERROR(VLOOKUP(B28,Inventario!A:D,4,FALSE()),"")</f>
        <v/>
      </c>
      <c r="F28" s="5"/>
    </row>
    <row r="29" ht="14.25" customHeight="1">
      <c r="A29" s="47"/>
      <c r="C29" s="5" t="str">
        <f>IFERROR(VLOOKUP(B29,Inventario!A:C,2,FALSE()),"")</f>
        <v/>
      </c>
      <c r="D29" s="14" t="str">
        <f>IFERROR(VLOOKUP(B29,Inventario!A:C,3,FALSE()),"")</f>
        <v/>
      </c>
      <c r="E29" s="14" t="str">
        <f>IFERROR(VLOOKUP(B29,Inventario!A:D,4,FALSE()),"")</f>
        <v/>
      </c>
      <c r="F29" s="5"/>
    </row>
    <row r="30" ht="14.25" customHeight="1">
      <c r="A30" s="47"/>
      <c r="C30" s="5" t="str">
        <f>IFERROR(VLOOKUP(B30,Inventario!A:C,2,FALSE()),"")</f>
        <v/>
      </c>
      <c r="D30" s="14" t="str">
        <f>IFERROR(VLOOKUP(B30,Inventario!A:C,3,FALSE()),"")</f>
        <v/>
      </c>
      <c r="E30" s="14" t="str">
        <f>IFERROR(VLOOKUP(B30,Inventario!A:D,4,FALSE()),"")</f>
        <v/>
      </c>
      <c r="F30" s="5"/>
    </row>
    <row r="31" ht="14.25" customHeight="1">
      <c r="A31" s="47"/>
      <c r="C31" s="5" t="str">
        <f>IFERROR(VLOOKUP(B31,Inventario!A:C,2,FALSE()),"")</f>
        <v/>
      </c>
      <c r="D31" s="14" t="str">
        <f>IFERROR(VLOOKUP(B31,Inventario!A:C,3,FALSE()),"")</f>
        <v/>
      </c>
      <c r="E31" s="14" t="str">
        <f>IFERROR(VLOOKUP(B31,Inventario!A:D,4,FALSE()),"")</f>
        <v/>
      </c>
      <c r="F31" s="5"/>
    </row>
    <row r="32" ht="14.25" customHeight="1">
      <c r="A32" s="47"/>
      <c r="C32" s="5" t="str">
        <f>IFERROR(VLOOKUP(B32,Inventario!A:C,2,FALSE()),"")</f>
        <v/>
      </c>
      <c r="D32" s="14" t="str">
        <f>IFERROR(VLOOKUP(B32,Inventario!A:C,3,FALSE()),"")</f>
        <v/>
      </c>
      <c r="E32" s="14" t="str">
        <f>IFERROR(VLOOKUP(B32,Inventario!A:D,4,FALSE()),"")</f>
        <v/>
      </c>
      <c r="F32" s="5"/>
    </row>
    <row r="33" ht="14.25" customHeight="1">
      <c r="A33" s="47"/>
      <c r="C33" s="5" t="str">
        <f>IFERROR(VLOOKUP(B33,Inventario!A:C,2,FALSE()),"")</f>
        <v/>
      </c>
      <c r="D33" s="14" t="str">
        <f>IFERROR(VLOOKUP(B33,Inventario!A:C,3,FALSE()),"")</f>
        <v/>
      </c>
      <c r="E33" s="14" t="str">
        <f>IFERROR(VLOOKUP(B33,Inventario!A:D,4,FALSE()),"")</f>
        <v/>
      </c>
      <c r="F33" s="5"/>
    </row>
    <row r="34" ht="14.25" customHeight="1">
      <c r="A34" s="47"/>
      <c r="C34" s="5" t="str">
        <f>IFERROR(VLOOKUP(B34,Inventario!A:C,2,FALSE()),"")</f>
        <v/>
      </c>
      <c r="D34" s="14" t="str">
        <f>IFERROR(VLOOKUP(B34,Inventario!A:C,3,FALSE()),"")</f>
        <v/>
      </c>
      <c r="E34" s="14" t="str">
        <f>IFERROR(VLOOKUP(B34,Inventario!A:D,4,FALSE()),"")</f>
        <v/>
      </c>
      <c r="F34" s="5"/>
    </row>
    <row r="35" ht="14.25" customHeight="1">
      <c r="A35" s="47"/>
      <c r="C35" s="5" t="str">
        <f>IFERROR(VLOOKUP(B35,Inventario!A:C,2,FALSE()),"")</f>
        <v/>
      </c>
      <c r="D35" s="14" t="str">
        <f>IFERROR(VLOOKUP(B35,Inventario!A:C,3,FALSE()),"")</f>
        <v/>
      </c>
      <c r="E35" s="14" t="str">
        <f>IFERROR(VLOOKUP(B35,Inventario!A:D,4,FALSE()),"")</f>
        <v/>
      </c>
      <c r="F35" s="5"/>
    </row>
    <row r="36" ht="14.25" customHeight="1">
      <c r="A36" s="47"/>
      <c r="C36" s="5" t="str">
        <f>IFERROR(VLOOKUP(B36,Inventario!A:C,2,FALSE()),"")</f>
        <v/>
      </c>
      <c r="D36" s="14" t="str">
        <f>IFERROR(VLOOKUP(B36,Inventario!A:C,3,FALSE()),"")</f>
        <v/>
      </c>
      <c r="E36" s="14" t="str">
        <f>IFERROR(VLOOKUP(B36,Inventario!A:D,4,FALSE()),"")</f>
        <v/>
      </c>
      <c r="F36" s="5"/>
    </row>
    <row r="37" ht="14.25" customHeight="1">
      <c r="A37" s="47"/>
      <c r="C37" s="5" t="str">
        <f>IFERROR(VLOOKUP(B37,Inventario!A:C,2,FALSE()),"")</f>
        <v/>
      </c>
      <c r="D37" s="14" t="str">
        <f>IFERROR(VLOOKUP(B37,Inventario!A:C,3,FALSE()),"")</f>
        <v/>
      </c>
      <c r="E37" s="14" t="str">
        <f>IFERROR(VLOOKUP(B37,Inventario!A:D,4,FALSE()),"")</f>
        <v/>
      </c>
      <c r="F37" s="5"/>
    </row>
    <row r="38" ht="14.25" customHeight="1">
      <c r="A38" s="47"/>
      <c r="C38" s="5" t="str">
        <f>IFERROR(VLOOKUP(B38,Inventario!A:C,2,FALSE()),"")</f>
        <v/>
      </c>
      <c r="D38" s="14" t="str">
        <f>IFERROR(VLOOKUP(B38,Inventario!A:C,3,FALSE()),"")</f>
        <v/>
      </c>
      <c r="E38" s="14" t="str">
        <f>IFERROR(VLOOKUP(B38,Inventario!A:D,4,FALSE()),"")</f>
        <v/>
      </c>
      <c r="F38" s="5"/>
    </row>
    <row r="39" ht="14.25" customHeight="1">
      <c r="A39" s="47"/>
      <c r="C39" s="5" t="str">
        <f>IFERROR(VLOOKUP(B39,Inventario!A:C,2,FALSE()),"")</f>
        <v/>
      </c>
      <c r="D39" s="14" t="str">
        <f>IFERROR(VLOOKUP(B39,Inventario!A:C,3,FALSE()),"")</f>
        <v/>
      </c>
      <c r="E39" s="14" t="str">
        <f>IFERROR(VLOOKUP(B39,Inventario!A:D,4,FALSE()),"")</f>
        <v/>
      </c>
      <c r="F39" s="5"/>
    </row>
    <row r="40" ht="14.25" customHeight="1">
      <c r="A40" s="47"/>
      <c r="C40" s="5" t="str">
        <f>IFERROR(VLOOKUP(B40,Inventario!A:C,2,FALSE()),"")</f>
        <v/>
      </c>
      <c r="D40" s="14" t="str">
        <f>IFERROR(VLOOKUP(B40,Inventario!A:C,3,FALSE()),"")</f>
        <v/>
      </c>
      <c r="E40" s="14" t="str">
        <f>IFERROR(VLOOKUP(B40,Inventario!A:D,4,FALSE()),"")</f>
        <v/>
      </c>
      <c r="F40" s="5"/>
    </row>
    <row r="41" ht="14.25" customHeight="1">
      <c r="A41" s="47"/>
      <c r="C41" s="5" t="str">
        <f>IFERROR(VLOOKUP(B41,Inventario!A:C,2,FALSE()),"")</f>
        <v/>
      </c>
      <c r="D41" s="14" t="str">
        <f>IFERROR(VLOOKUP(B41,Inventario!A:C,3,FALSE()),"")</f>
        <v/>
      </c>
      <c r="E41" s="14" t="str">
        <f>IFERROR(VLOOKUP(B41,Inventario!A:D,4,FALSE()),"")</f>
        <v/>
      </c>
      <c r="F41" s="5"/>
    </row>
    <row r="42" ht="14.25" customHeight="1">
      <c r="A42" s="47"/>
      <c r="C42" s="5" t="str">
        <f>IFERROR(VLOOKUP(B42,Inventario!A:C,2,FALSE()),"")</f>
        <v/>
      </c>
      <c r="D42" s="14" t="str">
        <f>IFERROR(VLOOKUP(B42,Inventario!A:C,3,FALSE()),"")</f>
        <v/>
      </c>
      <c r="E42" s="14" t="str">
        <f>IFERROR(VLOOKUP(B42,Inventario!A:D,4,FALSE()),"")</f>
        <v/>
      </c>
      <c r="F42" s="5"/>
    </row>
    <row r="43" ht="14.25" customHeight="1">
      <c r="A43" s="47"/>
      <c r="C43" s="5" t="str">
        <f>IFERROR(VLOOKUP(B43,Inventario!A:C,2,FALSE()),"")</f>
        <v/>
      </c>
      <c r="D43" s="14" t="str">
        <f>IFERROR(VLOOKUP(B43,Inventario!A:C,3,FALSE()),"")</f>
        <v/>
      </c>
      <c r="E43" s="14" t="str">
        <f>IFERROR(VLOOKUP(B43,Inventario!A:D,4,FALSE()),"")</f>
        <v/>
      </c>
      <c r="F43" s="5"/>
    </row>
    <row r="44" ht="14.25" customHeight="1">
      <c r="A44" s="47"/>
      <c r="C44" s="5" t="str">
        <f>IFERROR(VLOOKUP(B44,Inventario!A:C,2,FALSE()),"")</f>
        <v/>
      </c>
      <c r="D44" s="14" t="str">
        <f>IFERROR(VLOOKUP(B44,Inventario!A:C,3,FALSE()),"")</f>
        <v/>
      </c>
      <c r="E44" s="14" t="str">
        <f>IFERROR(VLOOKUP(B44,Inventario!A:D,4,FALSE()),"")</f>
        <v/>
      </c>
      <c r="F44" s="5"/>
    </row>
    <row r="45" ht="14.25" customHeight="1">
      <c r="A45" s="47"/>
      <c r="C45" s="5" t="str">
        <f>IFERROR(VLOOKUP(B45,Inventario!A:C,2,FALSE()),"")</f>
        <v/>
      </c>
      <c r="D45" s="14" t="str">
        <f>IFERROR(VLOOKUP(B45,Inventario!A:C,3,FALSE()),"")</f>
        <v/>
      </c>
      <c r="E45" s="14" t="str">
        <f>IFERROR(VLOOKUP(B45,Inventario!A:D,4,FALSE()),"")</f>
        <v/>
      </c>
      <c r="F45" s="5"/>
    </row>
    <row r="46" ht="14.25" customHeight="1">
      <c r="A46" s="47"/>
      <c r="C46" s="5" t="str">
        <f>IFERROR(VLOOKUP(B46,Inventario!A:C,2,FALSE()),"")</f>
        <v/>
      </c>
      <c r="D46" s="14" t="str">
        <f>IFERROR(VLOOKUP(B46,Inventario!A:C,3,FALSE()),"")</f>
        <v/>
      </c>
      <c r="E46" s="14" t="str">
        <f>IFERROR(VLOOKUP(B46,Inventario!A:D,4,FALSE()),"")</f>
        <v/>
      </c>
      <c r="F46" s="5"/>
    </row>
    <row r="47" ht="14.25" customHeight="1">
      <c r="A47" s="47"/>
      <c r="C47" s="5" t="str">
        <f>IFERROR(VLOOKUP(B47,Inventario!A:C,2,FALSE()),"")</f>
        <v/>
      </c>
      <c r="D47" s="14" t="str">
        <f>IFERROR(VLOOKUP(B47,Inventario!A:C,3,FALSE()),"")</f>
        <v/>
      </c>
      <c r="E47" s="14" t="str">
        <f>IFERROR(VLOOKUP(B47,Inventario!A:D,4,FALSE()),"")</f>
        <v/>
      </c>
      <c r="F47" s="5"/>
    </row>
    <row r="48" ht="14.25" customHeight="1">
      <c r="A48" s="47"/>
      <c r="C48" s="5" t="str">
        <f>IFERROR(VLOOKUP(B48,Inventario!A:C,2,FALSE()),"")</f>
        <v/>
      </c>
      <c r="D48" s="14" t="str">
        <f>IFERROR(VLOOKUP(B48,Inventario!A:C,3,FALSE()),"")</f>
        <v/>
      </c>
      <c r="E48" s="14" t="str">
        <f>IFERROR(VLOOKUP(B48,Inventario!A:D,4,FALSE()),"")</f>
        <v/>
      </c>
      <c r="F48" s="5"/>
    </row>
    <row r="49" ht="14.25" customHeight="1">
      <c r="A49" s="47"/>
      <c r="C49" s="5" t="str">
        <f>IFERROR(VLOOKUP(B49,Inventario!A:C,2,FALSE()),"")</f>
        <v/>
      </c>
      <c r="D49" s="14" t="str">
        <f>IFERROR(VLOOKUP(B49,Inventario!A:C,3,FALSE()),"")</f>
        <v/>
      </c>
      <c r="E49" s="14" t="str">
        <f>IFERROR(VLOOKUP(B49,Inventario!A:D,4,FALSE()),"")</f>
        <v/>
      </c>
      <c r="F49" s="5"/>
    </row>
    <row r="50" ht="14.25" customHeight="1">
      <c r="A50" s="47"/>
      <c r="C50" s="5" t="str">
        <f>IFERROR(VLOOKUP(B50,Inventario!A:C,2,FALSE()),"")</f>
        <v/>
      </c>
      <c r="D50" s="14" t="str">
        <f>IFERROR(VLOOKUP(B50,Inventario!A:C,3,FALSE()),"")</f>
        <v/>
      </c>
      <c r="E50" s="14" t="str">
        <f>IFERROR(VLOOKUP(B50,Inventario!A:D,4,FALSE()),"")</f>
        <v/>
      </c>
      <c r="F50" s="5"/>
    </row>
    <row r="51" ht="14.25" customHeight="1">
      <c r="A51" s="47"/>
      <c r="C51" s="5" t="str">
        <f>IFERROR(VLOOKUP(B51,Inventario!A:C,2,FALSE()),"")</f>
        <v/>
      </c>
      <c r="D51" s="14" t="str">
        <f>IFERROR(VLOOKUP(B51,Inventario!A:C,3,FALSE()),"")</f>
        <v/>
      </c>
      <c r="E51" s="14" t="str">
        <f>IFERROR(VLOOKUP(B51,Inventario!A:D,4,FALSE()),"")</f>
        <v/>
      </c>
      <c r="F51" s="5"/>
    </row>
    <row r="52" ht="14.25" customHeight="1">
      <c r="F52" s="5"/>
    </row>
    <row r="53" ht="14.25" customHeight="1">
      <c r="F53" s="5"/>
    </row>
    <row r="54" ht="14.25" customHeight="1">
      <c r="F54" s="5"/>
    </row>
    <row r="55" ht="14.25" customHeight="1">
      <c r="A55" s="49" t="s">
        <v>406</v>
      </c>
      <c r="F55" s="5"/>
    </row>
    <row r="56" ht="14.25" customHeight="1">
      <c r="A56" s="5" t="s">
        <v>407</v>
      </c>
      <c r="B56" s="5">
        <f>COUNTA(B2:B50)</f>
        <v>2</v>
      </c>
      <c r="F56" s="5"/>
    </row>
    <row r="57" ht="14.25" customHeight="1">
      <c r="A57" s="5" t="s">
        <v>408</v>
      </c>
      <c r="B57" s="14">
        <f>SUM(E2:E50)</f>
        <v>320000</v>
      </c>
      <c r="F57" s="5"/>
    </row>
    <row r="58" ht="14.25" customHeight="1">
      <c r="A58" s="5" t="s">
        <v>409</v>
      </c>
      <c r="B58" s="14">
        <f>SUM(D2:D50)</f>
        <v>160000</v>
      </c>
      <c r="F58" s="5"/>
    </row>
    <row r="59" ht="14.25" customHeight="1">
      <c r="A59" s="5" t="s">
        <v>410</v>
      </c>
      <c r="B59" s="14">
        <f>B57-B58</f>
        <v>160000</v>
      </c>
      <c r="F59" s="5"/>
    </row>
    <row r="60" ht="14.25" customHeight="1">
      <c r="F60" s="5"/>
    </row>
    <row r="61" ht="14.25" customHeight="1">
      <c r="F61" s="5"/>
    </row>
    <row r="62" ht="14.25" customHeight="1">
      <c r="F62" s="5"/>
    </row>
    <row r="63" ht="14.25" customHeight="1">
      <c r="F63" s="5"/>
    </row>
    <row r="64" ht="14.25" customHeight="1">
      <c r="F64" s="5"/>
    </row>
    <row r="65" ht="14.25" customHeight="1">
      <c r="F65" s="5"/>
    </row>
    <row r="66" ht="14.25" customHeight="1">
      <c r="F66" s="5"/>
    </row>
    <row r="67" ht="14.25" customHeight="1">
      <c r="F67" s="5"/>
    </row>
    <row r="68" ht="14.25" customHeight="1">
      <c r="F68" s="5"/>
    </row>
    <row r="69" ht="14.25" customHeight="1">
      <c r="F69" s="5"/>
    </row>
    <row r="70" ht="14.25" customHeight="1">
      <c r="F70" s="5"/>
    </row>
    <row r="71" ht="14.25" customHeight="1">
      <c r="F71" s="5"/>
    </row>
    <row r="72" ht="14.25" customHeight="1">
      <c r="F72" s="5"/>
    </row>
    <row r="73" ht="14.25" customHeight="1">
      <c r="F73" s="5"/>
    </row>
    <row r="74" ht="14.25" customHeight="1">
      <c r="F74" s="5"/>
    </row>
    <row r="75" ht="14.25" customHeight="1">
      <c r="F75" s="5"/>
    </row>
    <row r="76" ht="14.25" customHeight="1">
      <c r="F76" s="5"/>
    </row>
    <row r="77" ht="14.25" customHeight="1">
      <c r="F77" s="5"/>
    </row>
    <row r="78" ht="14.25" customHeight="1">
      <c r="F78" s="5"/>
    </row>
    <row r="79" ht="14.25" customHeight="1">
      <c r="F79" s="5"/>
    </row>
    <row r="80" ht="14.25" customHeight="1">
      <c r="F80" s="5"/>
    </row>
    <row r="81" ht="14.25" customHeight="1">
      <c r="F81" s="5"/>
    </row>
    <row r="82" ht="14.25" customHeight="1">
      <c r="F82" s="5"/>
    </row>
    <row r="83" ht="14.25" customHeight="1">
      <c r="F83" s="5"/>
    </row>
    <row r="84" ht="14.25" customHeight="1">
      <c r="F84" s="5"/>
    </row>
    <row r="85" ht="14.25" customHeight="1">
      <c r="F85" s="5"/>
    </row>
    <row r="86" ht="14.25" customHeight="1">
      <c r="F86" s="5"/>
    </row>
    <row r="87" ht="14.25" customHeight="1">
      <c r="F87" s="5"/>
    </row>
    <row r="88" ht="14.25" customHeight="1">
      <c r="F88" s="5"/>
    </row>
    <row r="89" ht="14.25" customHeight="1">
      <c r="F89" s="5"/>
    </row>
    <row r="90" ht="14.25" customHeight="1">
      <c r="F90" s="5"/>
    </row>
    <row r="91" ht="14.25" customHeight="1">
      <c r="F91" s="5"/>
    </row>
    <row r="92" ht="14.25" customHeight="1">
      <c r="F92" s="5"/>
    </row>
    <row r="93" ht="14.25" customHeight="1">
      <c r="F93" s="5"/>
    </row>
    <row r="94" ht="14.25" customHeight="1">
      <c r="F94" s="5"/>
    </row>
    <row r="95" ht="14.25" customHeight="1">
      <c r="F95" s="5"/>
    </row>
    <row r="96" ht="14.25" customHeight="1">
      <c r="F96" s="5"/>
    </row>
    <row r="97" ht="14.25" customHeight="1">
      <c r="F97" s="5"/>
    </row>
    <row r="98" ht="14.25" customHeight="1">
      <c r="F98" s="5"/>
    </row>
    <row r="99" ht="14.25" customHeight="1">
      <c r="F99" s="5"/>
    </row>
    <row r="100" ht="14.25" customHeight="1">
      <c r="F100" s="5"/>
    </row>
    <row r="101" ht="14.25" customHeight="1">
      <c r="F101" s="5"/>
    </row>
    <row r="102" ht="14.25" customHeight="1">
      <c r="F102" s="5"/>
    </row>
    <row r="103" ht="14.25" customHeight="1">
      <c r="F103" s="5"/>
    </row>
    <row r="104" ht="14.25" customHeight="1">
      <c r="F104" s="5"/>
    </row>
    <row r="105" ht="14.25" customHeight="1">
      <c r="F105" s="5"/>
    </row>
    <row r="106" ht="14.25" customHeight="1">
      <c r="F106" s="5"/>
    </row>
    <row r="107" ht="14.25" customHeight="1">
      <c r="F107" s="5"/>
    </row>
    <row r="108" ht="14.25" customHeight="1">
      <c r="F108" s="5"/>
    </row>
    <row r="109" ht="14.25" customHeight="1">
      <c r="F109" s="5"/>
    </row>
    <row r="110" ht="14.25" customHeight="1">
      <c r="F110" s="5"/>
    </row>
    <row r="111" ht="14.25" customHeight="1">
      <c r="F111" s="5"/>
    </row>
    <row r="112" ht="14.25" customHeight="1">
      <c r="F112" s="5"/>
    </row>
    <row r="113" ht="14.25" customHeight="1">
      <c r="F113" s="5"/>
    </row>
    <row r="114" ht="14.25" customHeight="1">
      <c r="F114" s="5"/>
    </row>
    <row r="115" ht="14.25" customHeight="1">
      <c r="F115" s="5"/>
    </row>
    <row r="116" ht="14.25" customHeight="1">
      <c r="F116" s="5"/>
    </row>
    <row r="117" ht="14.25" customHeight="1">
      <c r="F117" s="5"/>
    </row>
    <row r="118" ht="14.25" customHeight="1">
      <c r="F118" s="5"/>
    </row>
    <row r="119" ht="14.25" customHeight="1">
      <c r="F119" s="5"/>
    </row>
    <row r="120" ht="14.25" customHeight="1">
      <c r="F120" s="5"/>
    </row>
    <row r="121" ht="14.25" customHeight="1">
      <c r="F121" s="5"/>
    </row>
    <row r="122" ht="14.25" customHeight="1">
      <c r="F122" s="5"/>
    </row>
    <row r="123" ht="14.25" customHeight="1">
      <c r="F123" s="5"/>
    </row>
    <row r="124" ht="14.25" customHeight="1">
      <c r="F124" s="5"/>
    </row>
    <row r="125" ht="14.25" customHeight="1">
      <c r="F125" s="5"/>
    </row>
    <row r="126" ht="14.25" customHeight="1">
      <c r="F126" s="5"/>
    </row>
    <row r="127" ht="14.25" customHeight="1">
      <c r="F127" s="5"/>
    </row>
    <row r="128" ht="14.25" customHeight="1">
      <c r="F128" s="5"/>
    </row>
    <row r="129" ht="14.25" customHeight="1">
      <c r="F129" s="5"/>
    </row>
    <row r="130" ht="14.25" customHeight="1">
      <c r="F130" s="5"/>
    </row>
    <row r="131" ht="14.25" customHeight="1">
      <c r="F131" s="5"/>
    </row>
    <row r="132" ht="14.25" customHeight="1">
      <c r="F132" s="5"/>
    </row>
    <row r="133" ht="14.25" customHeight="1">
      <c r="F133" s="5"/>
    </row>
    <row r="134" ht="14.25" customHeight="1">
      <c r="F134" s="5"/>
    </row>
    <row r="135" ht="14.25" customHeight="1">
      <c r="F135" s="5"/>
    </row>
    <row r="136" ht="14.25" customHeight="1">
      <c r="F136" s="5"/>
    </row>
    <row r="137" ht="14.25" customHeight="1">
      <c r="F137" s="5"/>
    </row>
    <row r="138" ht="14.25" customHeight="1">
      <c r="F138" s="5"/>
    </row>
    <row r="139" ht="14.25" customHeight="1">
      <c r="F139" s="5"/>
    </row>
    <row r="140" ht="14.25" customHeight="1">
      <c r="F140" s="5"/>
    </row>
    <row r="141" ht="14.25" customHeight="1">
      <c r="F141" s="5"/>
    </row>
    <row r="142" ht="14.25" customHeight="1">
      <c r="F142" s="5"/>
    </row>
    <row r="143" ht="14.25" customHeight="1">
      <c r="F143" s="5"/>
    </row>
    <row r="144" ht="14.25" customHeight="1">
      <c r="F144" s="5"/>
    </row>
    <row r="145" ht="14.25" customHeight="1">
      <c r="F145" s="5"/>
    </row>
    <row r="146" ht="14.25" customHeight="1">
      <c r="F146" s="5"/>
    </row>
    <row r="147" ht="14.25" customHeight="1">
      <c r="F147" s="5"/>
    </row>
    <row r="148" ht="14.25" customHeight="1">
      <c r="F148" s="5"/>
    </row>
    <row r="149" ht="14.25" customHeight="1">
      <c r="F149" s="5"/>
    </row>
    <row r="150" ht="14.25" customHeight="1">
      <c r="F150" s="5"/>
    </row>
    <row r="151" ht="14.25" customHeight="1">
      <c r="F151" s="5"/>
    </row>
    <row r="152" ht="14.25" customHeight="1">
      <c r="F152" s="5"/>
    </row>
    <row r="153" ht="14.25" customHeight="1">
      <c r="F153" s="5"/>
    </row>
    <row r="154" ht="14.25" customHeight="1">
      <c r="F154" s="5"/>
    </row>
    <row r="155" ht="14.25" customHeight="1">
      <c r="F155" s="5"/>
    </row>
    <row r="156" ht="14.25" customHeight="1">
      <c r="F156" s="5"/>
    </row>
    <row r="157" ht="14.25" customHeight="1">
      <c r="F157" s="5"/>
    </row>
    <row r="158" ht="14.25" customHeight="1">
      <c r="F158" s="5"/>
    </row>
    <row r="159" ht="14.25" customHeight="1">
      <c r="F159" s="5"/>
    </row>
    <row r="160" ht="14.25" customHeight="1">
      <c r="F160" s="5"/>
    </row>
    <row r="161" ht="14.25" customHeight="1">
      <c r="F161" s="5"/>
    </row>
    <row r="162" ht="14.25" customHeight="1">
      <c r="F162" s="5"/>
    </row>
    <row r="163" ht="14.25" customHeight="1">
      <c r="F163" s="5"/>
    </row>
    <row r="164" ht="14.25" customHeight="1">
      <c r="F164" s="5"/>
    </row>
    <row r="165" ht="14.25" customHeight="1">
      <c r="F165" s="5"/>
    </row>
    <row r="166" ht="14.25" customHeight="1">
      <c r="F166" s="5"/>
    </row>
    <row r="167" ht="14.25" customHeight="1">
      <c r="F167" s="5"/>
    </row>
    <row r="168" ht="14.25" customHeight="1">
      <c r="F168" s="5"/>
    </row>
    <row r="169" ht="14.25" customHeight="1">
      <c r="F169" s="5"/>
    </row>
    <row r="170" ht="14.25" customHeight="1">
      <c r="F170" s="5"/>
    </row>
    <row r="171" ht="14.25" customHeight="1">
      <c r="F171" s="5"/>
    </row>
    <row r="172" ht="14.25" customHeight="1">
      <c r="F172" s="5"/>
    </row>
    <row r="173" ht="14.25" customHeight="1">
      <c r="F173" s="5"/>
    </row>
    <row r="174" ht="14.25" customHeight="1">
      <c r="F174" s="5"/>
    </row>
    <row r="175" ht="14.25" customHeight="1">
      <c r="F175" s="5"/>
    </row>
    <row r="176" ht="14.25" customHeight="1">
      <c r="F176" s="5"/>
    </row>
    <row r="177" ht="14.25" customHeight="1">
      <c r="F177" s="5"/>
    </row>
    <row r="178" ht="14.25" customHeight="1">
      <c r="F178" s="5"/>
    </row>
    <row r="179" ht="14.25" customHeight="1">
      <c r="F179" s="5"/>
    </row>
    <row r="180" ht="14.25" customHeight="1">
      <c r="F180" s="5"/>
    </row>
    <row r="181" ht="14.25" customHeight="1">
      <c r="F181" s="5"/>
    </row>
    <row r="182" ht="14.25" customHeight="1">
      <c r="F182" s="5"/>
    </row>
    <row r="183" ht="14.25" customHeight="1">
      <c r="F183" s="5"/>
    </row>
    <row r="184" ht="14.25" customHeight="1">
      <c r="F184" s="5"/>
    </row>
    <row r="185" ht="14.25" customHeight="1">
      <c r="F185" s="5"/>
    </row>
    <row r="186" ht="14.25" customHeight="1">
      <c r="F186" s="5"/>
    </row>
    <row r="187" ht="14.25" customHeight="1">
      <c r="F187" s="5"/>
    </row>
    <row r="188" ht="14.25" customHeight="1">
      <c r="F188" s="5"/>
    </row>
    <row r="189" ht="14.25" customHeight="1">
      <c r="F189" s="5"/>
    </row>
    <row r="190" ht="14.25" customHeight="1">
      <c r="F190" s="5"/>
    </row>
    <row r="191" ht="14.25" customHeight="1">
      <c r="F191" s="5"/>
    </row>
    <row r="192" ht="14.25" customHeight="1">
      <c r="F192" s="5"/>
    </row>
    <row r="193" ht="14.25" customHeight="1">
      <c r="F193" s="5"/>
    </row>
    <row r="194" ht="14.25" customHeight="1">
      <c r="F194" s="5"/>
    </row>
    <row r="195" ht="14.25" customHeight="1">
      <c r="F195" s="5"/>
    </row>
    <row r="196" ht="14.25" customHeight="1">
      <c r="F196" s="5"/>
    </row>
    <row r="197" ht="14.25" customHeight="1">
      <c r="F197" s="5"/>
    </row>
    <row r="198" ht="14.25" customHeight="1">
      <c r="F198" s="5"/>
    </row>
    <row r="199" ht="14.25" customHeight="1">
      <c r="F199" s="5"/>
    </row>
    <row r="200" ht="14.25" customHeight="1">
      <c r="F200" s="5"/>
    </row>
    <row r="201" ht="14.25" customHeight="1">
      <c r="F201" s="5"/>
    </row>
    <row r="202" ht="14.25" customHeight="1">
      <c r="F202" s="5"/>
    </row>
    <row r="203" ht="14.25" customHeight="1">
      <c r="F203" s="5"/>
    </row>
    <row r="204" ht="14.25" customHeight="1">
      <c r="F204" s="5"/>
    </row>
    <row r="205" ht="14.25" customHeight="1">
      <c r="F205" s="5"/>
    </row>
    <row r="206" ht="14.25" customHeight="1">
      <c r="F206" s="5"/>
    </row>
    <row r="207" ht="14.25" customHeight="1">
      <c r="F207" s="5"/>
    </row>
    <row r="208" ht="14.25" customHeight="1">
      <c r="F208" s="5"/>
    </row>
    <row r="209" ht="14.25" customHeight="1">
      <c r="F209" s="5"/>
    </row>
    <row r="210" ht="14.25" customHeight="1">
      <c r="F210" s="5"/>
    </row>
    <row r="211" ht="14.25" customHeight="1">
      <c r="F211" s="5"/>
    </row>
    <row r="212" ht="14.25" customHeight="1">
      <c r="F212" s="5"/>
    </row>
    <row r="213" ht="14.25" customHeight="1">
      <c r="F213" s="5"/>
    </row>
    <row r="214" ht="14.25" customHeight="1">
      <c r="F214" s="5"/>
    </row>
    <row r="215" ht="14.25" customHeight="1">
      <c r="F215" s="5"/>
    </row>
    <row r="216" ht="14.25" customHeight="1">
      <c r="F216" s="5"/>
    </row>
    <row r="217" ht="14.25" customHeight="1">
      <c r="F217" s="5"/>
    </row>
    <row r="218" ht="14.25" customHeight="1">
      <c r="F218" s="5"/>
    </row>
    <row r="219" ht="14.25" customHeight="1">
      <c r="F219" s="5"/>
    </row>
    <row r="220" ht="14.25" customHeight="1">
      <c r="F220" s="5"/>
    </row>
    <row r="221" ht="14.25" customHeight="1">
      <c r="F221" s="5"/>
    </row>
    <row r="222" ht="14.25" customHeight="1">
      <c r="F222" s="5"/>
    </row>
    <row r="223" ht="14.25" customHeight="1">
      <c r="F223" s="5"/>
    </row>
    <row r="224" ht="14.25" customHeight="1">
      <c r="F224" s="5"/>
    </row>
    <row r="225" ht="14.25" customHeight="1">
      <c r="F225" s="5"/>
    </row>
    <row r="226" ht="14.25" customHeight="1">
      <c r="F226" s="5"/>
    </row>
    <row r="227" ht="14.25" customHeight="1">
      <c r="F227" s="5"/>
    </row>
    <row r="228" ht="14.25" customHeight="1">
      <c r="F228" s="5"/>
    </row>
    <row r="229" ht="14.25" customHeight="1">
      <c r="F229" s="5"/>
    </row>
    <row r="230" ht="14.25" customHeight="1">
      <c r="F230" s="5"/>
    </row>
    <row r="231" ht="14.25" customHeight="1">
      <c r="F231" s="5"/>
    </row>
    <row r="232" ht="14.25" customHeight="1">
      <c r="F232" s="5"/>
    </row>
    <row r="233" ht="14.25" customHeight="1">
      <c r="F233" s="5"/>
    </row>
    <row r="234" ht="14.25" customHeight="1">
      <c r="F234" s="5"/>
    </row>
    <row r="235" ht="14.25" customHeight="1">
      <c r="F235" s="5"/>
    </row>
    <row r="236" ht="14.25" customHeight="1">
      <c r="F236" s="5"/>
    </row>
    <row r="237" ht="14.25" customHeight="1">
      <c r="F237" s="5"/>
    </row>
    <row r="238" ht="14.25" customHeight="1">
      <c r="F238" s="5"/>
    </row>
    <row r="239" ht="14.25" customHeight="1">
      <c r="F239" s="5"/>
    </row>
    <row r="240" ht="14.25" customHeight="1">
      <c r="F240" s="5"/>
    </row>
    <row r="241" ht="14.25" customHeight="1">
      <c r="F241" s="5"/>
    </row>
    <row r="242" ht="14.25" customHeight="1">
      <c r="F242" s="5"/>
    </row>
    <row r="243" ht="14.25" customHeight="1">
      <c r="F243" s="5"/>
    </row>
    <row r="244" ht="14.25" customHeight="1">
      <c r="F244" s="5"/>
    </row>
    <row r="245" ht="14.25" customHeight="1">
      <c r="F245" s="5"/>
    </row>
    <row r="246" ht="14.25" customHeight="1">
      <c r="F246" s="5"/>
    </row>
    <row r="247" ht="14.25" customHeight="1">
      <c r="F247" s="5"/>
    </row>
    <row r="248" ht="14.25" customHeight="1">
      <c r="F248" s="5"/>
    </row>
    <row r="249" ht="14.25" customHeight="1">
      <c r="F249" s="5"/>
    </row>
    <row r="250" ht="14.25" customHeight="1">
      <c r="F250" s="5"/>
    </row>
    <row r="251" ht="14.25" customHeight="1">
      <c r="F251" s="5"/>
    </row>
    <row r="252" ht="14.25" customHeight="1">
      <c r="F252" s="5"/>
    </row>
    <row r="253" ht="14.25" customHeight="1">
      <c r="F253" s="5"/>
    </row>
    <row r="254" ht="14.25" customHeight="1">
      <c r="F254" s="5"/>
    </row>
    <row r="255" ht="14.25" customHeight="1">
      <c r="F255" s="5"/>
    </row>
    <row r="256" ht="14.25" customHeight="1">
      <c r="F256" s="5"/>
    </row>
    <row r="257" ht="14.25" customHeight="1">
      <c r="F257" s="5"/>
    </row>
    <row r="258" ht="14.25" customHeight="1">
      <c r="F258" s="5"/>
    </row>
    <row r="259" ht="14.25" customHeight="1">
      <c r="F259" s="5"/>
    </row>
    <row r="260" ht="14.25" customHeight="1">
      <c r="F260" s="5"/>
    </row>
    <row r="261" ht="14.25" customHeight="1">
      <c r="F261" s="5"/>
    </row>
    <row r="262" ht="14.25" customHeight="1">
      <c r="F262" s="5"/>
    </row>
    <row r="263" ht="14.25" customHeight="1">
      <c r="F263" s="5"/>
    </row>
    <row r="264" ht="14.25" customHeight="1">
      <c r="F264" s="5"/>
    </row>
    <row r="265" ht="14.25" customHeight="1">
      <c r="F265" s="5"/>
    </row>
    <row r="266" ht="14.25" customHeight="1">
      <c r="F266" s="5"/>
    </row>
    <row r="267" ht="14.25" customHeight="1">
      <c r="F267" s="5"/>
    </row>
    <row r="268" ht="14.25" customHeight="1">
      <c r="F268" s="5"/>
    </row>
    <row r="269" ht="14.25" customHeight="1">
      <c r="F269" s="5"/>
    </row>
    <row r="270" ht="14.25" customHeight="1">
      <c r="F270" s="5"/>
    </row>
    <row r="271" ht="14.25" customHeight="1">
      <c r="F271" s="5"/>
    </row>
    <row r="272" ht="14.25" customHeight="1">
      <c r="F272" s="5"/>
    </row>
    <row r="273" ht="14.25" customHeight="1">
      <c r="F273" s="5"/>
    </row>
    <row r="274" ht="14.25" customHeight="1">
      <c r="F274" s="5"/>
    </row>
    <row r="275" ht="14.25" customHeight="1">
      <c r="F275" s="5"/>
    </row>
    <row r="276" ht="14.25" customHeight="1">
      <c r="F276" s="5"/>
    </row>
    <row r="277" ht="14.25" customHeight="1">
      <c r="F277" s="5"/>
    </row>
    <row r="278" ht="14.25" customHeight="1">
      <c r="F278" s="5"/>
    </row>
    <row r="279" ht="14.25" customHeight="1">
      <c r="F279" s="5"/>
    </row>
    <row r="280" ht="14.25" customHeight="1">
      <c r="F280" s="5"/>
    </row>
    <row r="281" ht="14.25" customHeight="1">
      <c r="F281" s="5"/>
    </row>
    <row r="282" ht="14.25" customHeight="1">
      <c r="F282" s="5"/>
    </row>
    <row r="283" ht="14.25" customHeight="1">
      <c r="F283" s="5"/>
    </row>
    <row r="284" ht="14.25" customHeight="1">
      <c r="F284" s="5"/>
    </row>
    <row r="285" ht="14.25" customHeight="1">
      <c r="F285" s="5"/>
    </row>
    <row r="286" ht="14.25" customHeight="1">
      <c r="F286" s="5"/>
    </row>
    <row r="287" ht="14.25" customHeight="1">
      <c r="F287" s="5"/>
    </row>
    <row r="288" ht="14.25" customHeight="1">
      <c r="F288" s="5"/>
    </row>
    <row r="289" ht="14.25" customHeight="1">
      <c r="F289" s="5"/>
    </row>
    <row r="290" ht="14.25" customHeight="1">
      <c r="F290" s="5"/>
    </row>
    <row r="291" ht="14.25" customHeight="1">
      <c r="F291" s="5"/>
    </row>
    <row r="292" ht="14.25" customHeight="1">
      <c r="F292" s="5"/>
    </row>
    <row r="293" ht="14.25" customHeight="1">
      <c r="F293" s="5"/>
    </row>
    <row r="294" ht="14.25" customHeight="1">
      <c r="F294" s="5"/>
    </row>
    <row r="295" ht="14.25" customHeight="1">
      <c r="F295" s="5"/>
    </row>
    <row r="296" ht="14.25" customHeight="1">
      <c r="F296" s="5"/>
    </row>
    <row r="297" ht="14.25" customHeight="1">
      <c r="F297" s="5"/>
    </row>
    <row r="298" ht="14.25" customHeight="1">
      <c r="F298" s="5"/>
    </row>
    <row r="299" ht="14.25" customHeight="1">
      <c r="F299" s="5"/>
    </row>
    <row r="300" ht="14.25" customHeight="1">
      <c r="F300" s="5"/>
    </row>
    <row r="301" ht="14.25" customHeight="1">
      <c r="F301" s="5"/>
    </row>
    <row r="302" ht="14.25" customHeight="1">
      <c r="F302" s="5"/>
    </row>
    <row r="303" ht="14.25" customHeight="1">
      <c r="F303" s="5"/>
    </row>
    <row r="304" ht="14.25" customHeight="1">
      <c r="F304" s="5"/>
    </row>
    <row r="305" ht="14.25" customHeight="1">
      <c r="F305" s="5"/>
    </row>
    <row r="306" ht="14.25" customHeight="1">
      <c r="F306" s="5"/>
    </row>
    <row r="307" ht="14.25" customHeight="1">
      <c r="F307" s="5"/>
    </row>
    <row r="308" ht="14.25" customHeight="1">
      <c r="F308" s="5"/>
    </row>
    <row r="309" ht="14.25" customHeight="1">
      <c r="F309" s="5"/>
    </row>
    <row r="310" ht="14.25" customHeight="1">
      <c r="F310" s="5"/>
    </row>
    <row r="311" ht="14.25" customHeight="1">
      <c r="F311" s="5"/>
    </row>
    <row r="312" ht="14.25" customHeight="1">
      <c r="F312" s="5"/>
    </row>
    <row r="313" ht="14.25" customHeight="1">
      <c r="F313" s="5"/>
    </row>
    <row r="314" ht="14.25" customHeight="1">
      <c r="F314" s="5"/>
    </row>
    <row r="315" ht="14.25" customHeight="1">
      <c r="F315" s="5"/>
    </row>
    <row r="316" ht="14.25" customHeight="1">
      <c r="F316" s="5"/>
    </row>
    <row r="317" ht="14.25" customHeight="1">
      <c r="F317" s="5"/>
    </row>
    <row r="318" ht="14.25" customHeight="1">
      <c r="F318" s="5"/>
    </row>
    <row r="319" ht="14.25" customHeight="1">
      <c r="F319" s="5"/>
    </row>
    <row r="320" ht="14.25" customHeight="1">
      <c r="F320" s="5"/>
    </row>
    <row r="321" ht="14.25" customHeight="1">
      <c r="F321" s="5"/>
    </row>
    <row r="322" ht="14.25" customHeight="1">
      <c r="F322" s="5"/>
    </row>
    <row r="323" ht="14.25" customHeight="1">
      <c r="F323" s="5"/>
    </row>
    <row r="324" ht="14.25" customHeight="1">
      <c r="F324" s="5"/>
    </row>
    <row r="325" ht="14.25" customHeight="1">
      <c r="F325" s="5"/>
    </row>
    <row r="326" ht="14.25" customHeight="1">
      <c r="F326" s="5"/>
    </row>
    <row r="327" ht="14.25" customHeight="1">
      <c r="F327" s="5"/>
    </row>
    <row r="328" ht="14.25" customHeight="1">
      <c r="F328" s="5"/>
    </row>
    <row r="329" ht="14.25" customHeight="1">
      <c r="F329" s="5"/>
    </row>
    <row r="330" ht="14.25" customHeight="1">
      <c r="F330" s="5"/>
    </row>
    <row r="331" ht="14.25" customHeight="1">
      <c r="F331" s="5"/>
    </row>
    <row r="332" ht="14.25" customHeight="1">
      <c r="F332" s="5"/>
    </row>
    <row r="333" ht="14.25" customHeight="1">
      <c r="F333" s="5"/>
    </row>
    <row r="334" ht="14.25" customHeight="1">
      <c r="F334" s="5"/>
    </row>
    <row r="335" ht="14.25" customHeight="1">
      <c r="F335" s="5"/>
    </row>
    <row r="336" ht="14.25" customHeight="1">
      <c r="F336" s="5"/>
    </row>
    <row r="337" ht="14.25" customHeight="1">
      <c r="F337" s="5"/>
    </row>
    <row r="338" ht="14.25" customHeight="1">
      <c r="F338" s="5"/>
    </row>
    <row r="339" ht="14.25" customHeight="1">
      <c r="F339" s="5"/>
    </row>
    <row r="340" ht="14.25" customHeight="1">
      <c r="F340" s="5"/>
    </row>
    <row r="341" ht="14.25" customHeight="1">
      <c r="F341" s="5"/>
    </row>
    <row r="342" ht="14.25" customHeight="1">
      <c r="F342" s="5"/>
    </row>
    <row r="343" ht="14.25" customHeight="1">
      <c r="F343" s="5"/>
    </row>
    <row r="344" ht="14.25" customHeight="1">
      <c r="F344" s="5"/>
    </row>
    <row r="345" ht="14.25" customHeight="1">
      <c r="F345" s="5"/>
    </row>
    <row r="346" ht="14.25" customHeight="1">
      <c r="F346" s="5"/>
    </row>
    <row r="347" ht="14.25" customHeight="1">
      <c r="F347" s="5"/>
    </row>
    <row r="348" ht="14.25" customHeight="1">
      <c r="F348" s="5"/>
    </row>
    <row r="349" ht="14.25" customHeight="1">
      <c r="F349" s="5"/>
    </row>
    <row r="350" ht="14.25" customHeight="1">
      <c r="F350" s="5"/>
    </row>
    <row r="351" ht="14.25" customHeight="1">
      <c r="F351" s="5"/>
    </row>
    <row r="352" ht="14.25" customHeight="1">
      <c r="F352" s="5"/>
    </row>
    <row r="353" ht="14.25" customHeight="1">
      <c r="F353" s="5"/>
    </row>
    <row r="354" ht="14.25" customHeight="1">
      <c r="F354" s="5"/>
    </row>
    <row r="355" ht="14.25" customHeight="1">
      <c r="F355" s="5"/>
    </row>
    <row r="356" ht="14.25" customHeight="1">
      <c r="F356" s="5"/>
    </row>
    <row r="357" ht="14.25" customHeight="1">
      <c r="F357" s="5"/>
    </row>
    <row r="358" ht="14.25" customHeight="1">
      <c r="F358" s="5"/>
    </row>
    <row r="359" ht="14.25" customHeight="1">
      <c r="F359" s="5"/>
    </row>
    <row r="360" ht="14.25" customHeight="1">
      <c r="F360" s="5"/>
    </row>
    <row r="361" ht="14.25" customHeight="1">
      <c r="F361" s="5"/>
    </row>
    <row r="362" ht="14.25" customHeight="1">
      <c r="F362" s="5"/>
    </row>
    <row r="363" ht="14.25" customHeight="1">
      <c r="F363" s="5"/>
    </row>
    <row r="364" ht="14.25" customHeight="1">
      <c r="F364" s="5"/>
    </row>
    <row r="365" ht="14.25" customHeight="1">
      <c r="F365" s="5"/>
    </row>
    <row r="366" ht="14.25" customHeight="1">
      <c r="F366" s="5"/>
    </row>
    <row r="367" ht="14.25" customHeight="1">
      <c r="F367" s="5"/>
    </row>
    <row r="368" ht="14.25" customHeight="1">
      <c r="F368" s="5"/>
    </row>
    <row r="369" ht="14.25" customHeight="1">
      <c r="F369" s="5"/>
    </row>
    <row r="370" ht="14.25" customHeight="1">
      <c r="F370" s="5"/>
    </row>
    <row r="371" ht="14.25" customHeight="1">
      <c r="F371" s="5"/>
    </row>
    <row r="372" ht="14.25" customHeight="1">
      <c r="F372" s="5"/>
    </row>
    <row r="373" ht="14.25" customHeight="1">
      <c r="F373" s="5"/>
    </row>
    <row r="374" ht="14.25" customHeight="1">
      <c r="F374" s="5"/>
    </row>
    <row r="375" ht="14.25" customHeight="1">
      <c r="F375" s="5"/>
    </row>
    <row r="376" ht="14.25" customHeight="1">
      <c r="F376" s="5"/>
    </row>
    <row r="377" ht="14.25" customHeight="1">
      <c r="F377" s="5"/>
    </row>
    <row r="378" ht="14.25" customHeight="1">
      <c r="F378" s="5"/>
    </row>
    <row r="379" ht="14.25" customHeight="1">
      <c r="F379" s="5"/>
    </row>
    <row r="380" ht="14.25" customHeight="1">
      <c r="F380" s="5"/>
    </row>
    <row r="381" ht="14.25" customHeight="1">
      <c r="F381" s="5"/>
    </row>
    <row r="382" ht="14.25" customHeight="1">
      <c r="F382" s="5"/>
    </row>
    <row r="383" ht="14.25" customHeight="1">
      <c r="F383" s="5"/>
    </row>
    <row r="384" ht="14.25" customHeight="1">
      <c r="F384" s="5"/>
    </row>
    <row r="385" ht="14.25" customHeight="1">
      <c r="F385" s="5"/>
    </row>
    <row r="386" ht="14.25" customHeight="1">
      <c r="F386" s="5"/>
    </row>
    <row r="387" ht="14.25" customHeight="1">
      <c r="F387" s="5"/>
    </row>
    <row r="388" ht="14.25" customHeight="1">
      <c r="F388" s="5"/>
    </row>
    <row r="389" ht="14.25" customHeight="1">
      <c r="F389" s="5"/>
    </row>
    <row r="390" ht="14.25" customHeight="1">
      <c r="F390" s="5"/>
    </row>
    <row r="391" ht="14.25" customHeight="1">
      <c r="F391" s="5"/>
    </row>
    <row r="392" ht="14.25" customHeight="1">
      <c r="F392" s="5"/>
    </row>
    <row r="393" ht="14.25" customHeight="1">
      <c r="F393" s="5"/>
    </row>
    <row r="394" ht="14.25" customHeight="1">
      <c r="F394" s="5"/>
    </row>
    <row r="395" ht="14.25" customHeight="1">
      <c r="F395" s="5"/>
    </row>
    <row r="396" ht="14.25" customHeight="1">
      <c r="F396" s="5"/>
    </row>
    <row r="397" ht="14.25" customHeight="1">
      <c r="F397" s="5"/>
    </row>
    <row r="398" ht="14.25" customHeight="1">
      <c r="F398" s="5"/>
    </row>
    <row r="399" ht="14.25" customHeight="1">
      <c r="F399" s="5"/>
    </row>
    <row r="400" ht="14.25" customHeight="1">
      <c r="F400" s="5"/>
    </row>
    <row r="401" ht="14.25" customHeight="1">
      <c r="F401" s="5"/>
    </row>
    <row r="402" ht="14.25" customHeight="1">
      <c r="F402" s="5"/>
    </row>
    <row r="403" ht="14.25" customHeight="1">
      <c r="F403" s="5"/>
    </row>
    <row r="404" ht="14.25" customHeight="1">
      <c r="F404" s="5"/>
    </row>
    <row r="405" ht="14.25" customHeight="1">
      <c r="F405" s="5"/>
    </row>
    <row r="406" ht="14.25" customHeight="1">
      <c r="F406" s="5"/>
    </row>
    <row r="407" ht="14.25" customHeight="1">
      <c r="F407" s="5"/>
    </row>
    <row r="408" ht="14.25" customHeight="1">
      <c r="F408" s="5"/>
    </row>
    <row r="409" ht="14.25" customHeight="1">
      <c r="F409" s="5"/>
    </row>
    <row r="410" ht="14.25" customHeight="1">
      <c r="F410" s="5"/>
    </row>
    <row r="411" ht="14.25" customHeight="1">
      <c r="F411" s="5"/>
    </row>
    <row r="412" ht="14.25" customHeight="1">
      <c r="F412" s="5"/>
    </row>
    <row r="413" ht="14.25" customHeight="1">
      <c r="F413" s="5"/>
    </row>
    <row r="414" ht="14.25" customHeight="1">
      <c r="F414" s="5"/>
    </row>
    <row r="415" ht="14.25" customHeight="1">
      <c r="F415" s="5"/>
    </row>
    <row r="416" ht="14.25" customHeight="1">
      <c r="F416" s="5"/>
    </row>
    <row r="417" ht="14.25" customHeight="1">
      <c r="F417" s="5"/>
    </row>
    <row r="418" ht="14.25" customHeight="1">
      <c r="F418" s="5"/>
    </row>
    <row r="419" ht="14.25" customHeight="1">
      <c r="F419" s="5"/>
    </row>
    <row r="420" ht="14.25" customHeight="1">
      <c r="F420" s="5"/>
    </row>
    <row r="421" ht="14.25" customHeight="1">
      <c r="F421" s="5"/>
    </row>
    <row r="422" ht="14.25" customHeight="1">
      <c r="F422" s="5"/>
    </row>
    <row r="423" ht="14.25" customHeight="1">
      <c r="F423" s="5"/>
    </row>
    <row r="424" ht="14.25" customHeight="1">
      <c r="F424" s="5"/>
    </row>
    <row r="425" ht="14.25" customHeight="1">
      <c r="F425" s="5"/>
    </row>
    <row r="426" ht="14.25" customHeight="1">
      <c r="F426" s="5"/>
    </row>
    <row r="427" ht="14.25" customHeight="1">
      <c r="F427" s="5"/>
    </row>
    <row r="428" ht="14.25" customHeight="1">
      <c r="F428" s="5"/>
    </row>
    <row r="429" ht="14.25" customHeight="1">
      <c r="F429" s="5"/>
    </row>
    <row r="430" ht="14.25" customHeight="1">
      <c r="F430" s="5"/>
    </row>
    <row r="431" ht="14.25" customHeight="1">
      <c r="F431" s="5"/>
    </row>
    <row r="432" ht="14.25" customHeight="1">
      <c r="F432" s="5"/>
    </row>
    <row r="433" ht="14.25" customHeight="1">
      <c r="F433" s="5"/>
    </row>
    <row r="434" ht="14.25" customHeight="1">
      <c r="F434" s="5"/>
    </row>
    <row r="435" ht="14.25" customHeight="1">
      <c r="F435" s="5"/>
    </row>
    <row r="436" ht="14.25" customHeight="1">
      <c r="F436" s="5"/>
    </row>
    <row r="437" ht="14.25" customHeight="1">
      <c r="F437" s="5"/>
    </row>
    <row r="438" ht="14.25" customHeight="1">
      <c r="F438" s="5"/>
    </row>
    <row r="439" ht="14.25" customHeight="1">
      <c r="F439" s="5"/>
    </row>
    <row r="440" ht="14.25" customHeight="1">
      <c r="F440" s="5"/>
    </row>
    <row r="441" ht="14.25" customHeight="1">
      <c r="F441" s="5"/>
    </row>
    <row r="442" ht="14.25" customHeight="1">
      <c r="F442" s="5"/>
    </row>
    <row r="443" ht="14.25" customHeight="1">
      <c r="F443" s="5"/>
    </row>
    <row r="444" ht="14.25" customHeight="1">
      <c r="F444" s="5"/>
    </row>
    <row r="445" ht="14.25" customHeight="1">
      <c r="F445" s="5"/>
    </row>
    <row r="446" ht="14.25" customHeight="1">
      <c r="F446" s="5"/>
    </row>
    <row r="447" ht="14.25" customHeight="1">
      <c r="F447" s="5"/>
    </row>
    <row r="448" ht="14.25" customHeight="1">
      <c r="F448" s="5"/>
    </row>
    <row r="449" ht="14.25" customHeight="1">
      <c r="F449" s="5"/>
    </row>
    <row r="450" ht="14.25" customHeight="1">
      <c r="F450" s="5"/>
    </row>
    <row r="451" ht="14.25" customHeight="1">
      <c r="F451" s="5"/>
    </row>
    <row r="452" ht="14.25" customHeight="1">
      <c r="F452" s="5"/>
    </row>
    <row r="453" ht="14.25" customHeight="1">
      <c r="F453" s="5"/>
    </row>
    <row r="454" ht="14.25" customHeight="1">
      <c r="F454" s="5"/>
    </row>
    <row r="455" ht="14.25" customHeight="1">
      <c r="F455" s="5"/>
    </row>
    <row r="456" ht="14.25" customHeight="1">
      <c r="F456" s="5"/>
    </row>
    <row r="457" ht="14.25" customHeight="1">
      <c r="F457" s="5"/>
    </row>
    <row r="458" ht="14.25" customHeight="1">
      <c r="F458" s="5"/>
    </row>
    <row r="459" ht="14.25" customHeight="1">
      <c r="F459" s="5"/>
    </row>
    <row r="460" ht="14.25" customHeight="1">
      <c r="F460" s="5"/>
    </row>
    <row r="461" ht="14.25" customHeight="1">
      <c r="F461" s="5"/>
    </row>
    <row r="462" ht="14.25" customHeight="1">
      <c r="F462" s="5"/>
    </row>
    <row r="463" ht="14.25" customHeight="1">
      <c r="F463" s="5"/>
    </row>
    <row r="464" ht="14.25" customHeight="1">
      <c r="F464" s="5"/>
    </row>
    <row r="465" ht="14.25" customHeight="1">
      <c r="F465" s="5"/>
    </row>
    <row r="466" ht="14.25" customHeight="1">
      <c r="F466" s="5"/>
    </row>
    <row r="467" ht="14.25" customHeight="1">
      <c r="F467" s="5"/>
    </row>
    <row r="468" ht="14.25" customHeight="1">
      <c r="F468" s="5"/>
    </row>
    <row r="469" ht="14.25" customHeight="1">
      <c r="F469" s="5"/>
    </row>
    <row r="470" ht="14.25" customHeight="1">
      <c r="F470" s="5"/>
    </row>
    <row r="471" ht="14.25" customHeight="1">
      <c r="F471" s="5"/>
    </row>
    <row r="472" ht="14.25" customHeight="1">
      <c r="F472" s="5"/>
    </row>
    <row r="473" ht="14.25" customHeight="1">
      <c r="F473" s="5"/>
    </row>
    <row r="474" ht="14.25" customHeight="1">
      <c r="F474" s="5"/>
    </row>
    <row r="475" ht="14.25" customHeight="1">
      <c r="F475" s="5"/>
    </row>
    <row r="476" ht="14.25" customHeight="1">
      <c r="F476" s="5"/>
    </row>
    <row r="477" ht="14.25" customHeight="1">
      <c r="F477" s="5"/>
    </row>
    <row r="478" ht="14.25" customHeight="1">
      <c r="F478" s="5"/>
    </row>
    <row r="479" ht="14.25" customHeight="1">
      <c r="F479" s="5"/>
    </row>
    <row r="480" ht="14.25" customHeight="1">
      <c r="F480" s="5"/>
    </row>
    <row r="481" ht="14.25" customHeight="1">
      <c r="F481" s="5"/>
    </row>
    <row r="482" ht="14.25" customHeight="1">
      <c r="F482" s="5"/>
    </row>
    <row r="483" ht="14.25" customHeight="1">
      <c r="F483" s="5"/>
    </row>
    <row r="484" ht="14.25" customHeight="1">
      <c r="F484" s="5"/>
    </row>
    <row r="485" ht="14.25" customHeight="1">
      <c r="F485" s="5"/>
    </row>
    <row r="486" ht="14.25" customHeight="1">
      <c r="F486" s="5"/>
    </row>
    <row r="487" ht="14.25" customHeight="1">
      <c r="F487" s="5"/>
    </row>
    <row r="488" ht="14.25" customHeight="1">
      <c r="F488" s="5"/>
    </row>
    <row r="489" ht="14.25" customHeight="1">
      <c r="F489" s="5"/>
    </row>
    <row r="490" ht="14.25" customHeight="1">
      <c r="F490" s="5"/>
    </row>
    <row r="491" ht="14.25" customHeight="1">
      <c r="F491" s="5"/>
    </row>
    <row r="492" ht="14.25" customHeight="1">
      <c r="F492" s="5"/>
    </row>
    <row r="493" ht="14.25" customHeight="1">
      <c r="F493" s="5"/>
    </row>
    <row r="494" ht="14.25" customHeight="1">
      <c r="F494" s="5"/>
    </row>
    <row r="495" ht="14.25" customHeight="1">
      <c r="F495" s="5"/>
    </row>
    <row r="496" ht="14.25" customHeight="1">
      <c r="F496" s="5"/>
    </row>
    <row r="497" ht="14.25" customHeight="1">
      <c r="F497" s="5"/>
    </row>
    <row r="498" ht="14.25" customHeight="1">
      <c r="F498" s="5"/>
    </row>
    <row r="499" ht="14.25" customHeight="1">
      <c r="F499" s="5"/>
    </row>
    <row r="500" ht="14.25" customHeight="1">
      <c r="F500" s="5"/>
    </row>
    <row r="501" ht="14.25" customHeight="1">
      <c r="F501" s="5"/>
    </row>
    <row r="502" ht="14.25" customHeight="1">
      <c r="F502" s="5"/>
    </row>
    <row r="503" ht="14.25" customHeight="1">
      <c r="F503" s="5"/>
    </row>
    <row r="504" ht="14.25" customHeight="1">
      <c r="F504" s="5"/>
    </row>
    <row r="505" ht="14.25" customHeight="1">
      <c r="F505" s="5"/>
    </row>
    <row r="506" ht="14.25" customHeight="1">
      <c r="F506" s="5"/>
    </row>
    <row r="507" ht="14.25" customHeight="1">
      <c r="F507" s="5"/>
    </row>
    <row r="508" ht="14.25" customHeight="1">
      <c r="F508" s="5"/>
    </row>
    <row r="509" ht="14.25" customHeight="1">
      <c r="F509" s="5"/>
    </row>
    <row r="510" ht="14.25" customHeight="1">
      <c r="F510" s="5"/>
    </row>
    <row r="511" ht="14.25" customHeight="1">
      <c r="F511" s="5"/>
    </row>
    <row r="512" ht="14.25" customHeight="1">
      <c r="F512" s="5"/>
    </row>
    <row r="513" ht="14.25" customHeight="1">
      <c r="F513" s="5"/>
    </row>
    <row r="514" ht="14.25" customHeight="1">
      <c r="F514" s="5"/>
    </row>
    <row r="515" ht="14.25" customHeight="1">
      <c r="F515" s="5"/>
    </row>
    <row r="516" ht="14.25" customHeight="1">
      <c r="F516" s="5"/>
    </row>
    <row r="517" ht="14.25" customHeight="1">
      <c r="F517" s="5"/>
    </row>
    <row r="518" ht="14.25" customHeight="1">
      <c r="F518" s="5"/>
    </row>
    <row r="519" ht="14.25" customHeight="1">
      <c r="F519" s="5"/>
    </row>
    <row r="520" ht="14.25" customHeight="1">
      <c r="F520" s="5"/>
    </row>
    <row r="521" ht="14.25" customHeight="1">
      <c r="F521" s="5"/>
    </row>
    <row r="522" ht="14.25" customHeight="1">
      <c r="F522" s="5"/>
    </row>
    <row r="523" ht="14.25" customHeight="1">
      <c r="F523" s="5"/>
    </row>
    <row r="524" ht="14.25" customHeight="1">
      <c r="F524" s="5"/>
    </row>
    <row r="525" ht="14.25" customHeight="1">
      <c r="F525" s="5"/>
    </row>
    <row r="526" ht="14.25" customHeight="1">
      <c r="F526" s="5"/>
    </row>
    <row r="527" ht="14.25" customHeight="1">
      <c r="F527" s="5"/>
    </row>
    <row r="528" ht="14.25" customHeight="1">
      <c r="F528" s="5"/>
    </row>
    <row r="529" ht="14.25" customHeight="1">
      <c r="F529" s="5"/>
    </row>
    <row r="530" ht="14.25" customHeight="1">
      <c r="F530" s="5"/>
    </row>
    <row r="531" ht="14.25" customHeight="1">
      <c r="F531" s="5"/>
    </row>
    <row r="532" ht="14.25" customHeight="1">
      <c r="F532" s="5"/>
    </row>
    <row r="533" ht="14.25" customHeight="1">
      <c r="F533" s="5"/>
    </row>
    <row r="534" ht="14.25" customHeight="1">
      <c r="F534" s="5"/>
    </row>
    <row r="535" ht="14.25" customHeight="1">
      <c r="F535" s="5"/>
    </row>
    <row r="536" ht="14.25" customHeight="1">
      <c r="F536" s="5"/>
    </row>
    <row r="537" ht="14.25" customHeight="1">
      <c r="F537" s="5"/>
    </row>
    <row r="538" ht="14.25" customHeight="1">
      <c r="F538" s="5"/>
    </row>
    <row r="539" ht="14.25" customHeight="1">
      <c r="F539" s="5"/>
    </row>
    <row r="540" ht="14.25" customHeight="1">
      <c r="F540" s="5"/>
    </row>
    <row r="541" ht="14.25" customHeight="1">
      <c r="F541" s="5"/>
    </row>
    <row r="542" ht="14.25" customHeight="1">
      <c r="F542" s="5"/>
    </row>
    <row r="543" ht="14.25" customHeight="1">
      <c r="F543" s="5"/>
    </row>
    <row r="544" ht="14.25" customHeight="1">
      <c r="F544" s="5"/>
    </row>
    <row r="545" ht="14.25" customHeight="1">
      <c r="F545" s="5"/>
    </row>
    <row r="546" ht="14.25" customHeight="1">
      <c r="F546" s="5"/>
    </row>
    <row r="547" ht="14.25" customHeight="1">
      <c r="F547" s="5"/>
    </row>
    <row r="548" ht="14.25" customHeight="1">
      <c r="F548" s="5"/>
    </row>
    <row r="549" ht="14.25" customHeight="1">
      <c r="F549" s="5"/>
    </row>
    <row r="550" ht="14.25" customHeight="1">
      <c r="F550" s="5"/>
    </row>
    <row r="551" ht="14.25" customHeight="1">
      <c r="F551" s="5"/>
    </row>
    <row r="552" ht="14.25" customHeight="1">
      <c r="F552" s="5"/>
    </row>
    <row r="553" ht="14.25" customHeight="1">
      <c r="F553" s="5"/>
    </row>
    <row r="554" ht="14.25" customHeight="1">
      <c r="F554" s="5"/>
    </row>
    <row r="555" ht="14.25" customHeight="1">
      <c r="F555" s="5"/>
    </row>
    <row r="556" ht="14.25" customHeight="1">
      <c r="F556" s="5"/>
    </row>
    <row r="557" ht="14.25" customHeight="1">
      <c r="F557" s="5"/>
    </row>
    <row r="558" ht="14.25" customHeight="1">
      <c r="F558" s="5"/>
    </row>
    <row r="559" ht="14.25" customHeight="1">
      <c r="F559" s="5"/>
    </row>
    <row r="560" ht="14.25" customHeight="1">
      <c r="F560" s="5"/>
    </row>
    <row r="561" ht="14.25" customHeight="1">
      <c r="F561" s="5"/>
    </row>
    <row r="562" ht="14.25" customHeight="1">
      <c r="F562" s="5"/>
    </row>
    <row r="563" ht="14.25" customHeight="1">
      <c r="F563" s="5"/>
    </row>
    <row r="564" ht="14.25" customHeight="1">
      <c r="F564" s="5"/>
    </row>
    <row r="565" ht="14.25" customHeight="1">
      <c r="F565" s="5"/>
    </row>
    <row r="566" ht="14.25" customHeight="1">
      <c r="F566" s="5"/>
    </row>
    <row r="567" ht="14.25" customHeight="1">
      <c r="F567" s="5"/>
    </row>
    <row r="568" ht="14.25" customHeight="1">
      <c r="F568" s="5"/>
    </row>
    <row r="569" ht="14.25" customHeight="1">
      <c r="F569" s="5"/>
    </row>
    <row r="570" ht="14.25" customHeight="1">
      <c r="F570" s="5"/>
    </row>
    <row r="571" ht="14.25" customHeight="1">
      <c r="F571" s="5"/>
    </row>
    <row r="572" ht="14.25" customHeight="1">
      <c r="F572" s="5"/>
    </row>
    <row r="573" ht="14.25" customHeight="1">
      <c r="F573" s="5"/>
    </row>
    <row r="574" ht="14.25" customHeight="1">
      <c r="F574" s="5"/>
    </row>
    <row r="575" ht="14.25" customHeight="1">
      <c r="F575" s="5"/>
    </row>
    <row r="576" ht="14.25" customHeight="1">
      <c r="F576" s="5"/>
    </row>
    <row r="577" ht="14.25" customHeight="1">
      <c r="F577" s="5"/>
    </row>
    <row r="578" ht="14.25" customHeight="1">
      <c r="F578" s="5"/>
    </row>
    <row r="579" ht="14.25" customHeight="1">
      <c r="F579" s="5"/>
    </row>
    <row r="580" ht="14.25" customHeight="1">
      <c r="F580" s="5"/>
    </row>
    <row r="581" ht="14.25" customHeight="1">
      <c r="F581" s="5"/>
    </row>
    <row r="582" ht="14.25" customHeight="1">
      <c r="F582" s="5"/>
    </row>
    <row r="583" ht="14.25" customHeight="1">
      <c r="F583" s="5"/>
    </row>
    <row r="584" ht="14.25" customHeight="1">
      <c r="F584" s="5"/>
    </row>
    <row r="585" ht="14.25" customHeight="1">
      <c r="F585" s="5"/>
    </row>
    <row r="586" ht="14.25" customHeight="1">
      <c r="F586" s="5"/>
    </row>
    <row r="587" ht="14.25" customHeight="1">
      <c r="F587" s="5"/>
    </row>
    <row r="588" ht="14.25" customHeight="1">
      <c r="F588" s="5"/>
    </row>
    <row r="589" ht="14.25" customHeight="1">
      <c r="F589" s="5"/>
    </row>
    <row r="590" ht="14.25" customHeight="1">
      <c r="F590" s="5"/>
    </row>
    <row r="591" ht="14.25" customHeight="1">
      <c r="F591" s="5"/>
    </row>
    <row r="592" ht="14.25" customHeight="1">
      <c r="F592" s="5"/>
    </row>
    <row r="593" ht="14.25" customHeight="1">
      <c r="F593" s="5"/>
    </row>
    <row r="594" ht="14.25" customHeight="1">
      <c r="F594" s="5"/>
    </row>
    <row r="595" ht="14.25" customHeight="1">
      <c r="F595" s="5"/>
    </row>
    <row r="596" ht="14.25" customHeight="1">
      <c r="F596" s="5"/>
    </row>
    <row r="597" ht="14.25" customHeight="1">
      <c r="F597" s="5"/>
    </row>
    <row r="598" ht="14.25" customHeight="1">
      <c r="F598" s="5"/>
    </row>
    <row r="599" ht="14.25" customHeight="1">
      <c r="F599" s="5"/>
    </row>
    <row r="600" ht="14.25" customHeight="1">
      <c r="F600" s="5"/>
    </row>
    <row r="601" ht="14.25" customHeight="1">
      <c r="F601" s="5"/>
    </row>
    <row r="602" ht="14.25" customHeight="1">
      <c r="F602" s="5"/>
    </row>
    <row r="603" ht="14.25" customHeight="1">
      <c r="F603" s="5"/>
    </row>
    <row r="604" ht="14.25" customHeight="1">
      <c r="F604" s="5"/>
    </row>
    <row r="605" ht="14.25" customHeight="1">
      <c r="F605" s="5"/>
    </row>
    <row r="606" ht="14.25" customHeight="1">
      <c r="F606" s="5"/>
    </row>
    <row r="607" ht="14.25" customHeight="1">
      <c r="F607" s="5"/>
    </row>
    <row r="608" ht="14.25" customHeight="1">
      <c r="F608" s="5"/>
    </row>
    <row r="609" ht="14.25" customHeight="1">
      <c r="F609" s="5"/>
    </row>
    <row r="610" ht="14.25" customHeight="1">
      <c r="F610" s="5"/>
    </row>
    <row r="611" ht="14.25" customHeight="1">
      <c r="F611" s="5"/>
    </row>
    <row r="612" ht="14.25" customHeight="1">
      <c r="F612" s="5"/>
    </row>
    <row r="613" ht="14.25" customHeight="1">
      <c r="F613" s="5"/>
    </row>
    <row r="614" ht="14.25" customHeight="1">
      <c r="F614" s="5"/>
    </row>
    <row r="615" ht="14.25" customHeight="1">
      <c r="F615" s="5"/>
    </row>
    <row r="616" ht="14.25" customHeight="1">
      <c r="F616" s="5"/>
    </row>
    <row r="617" ht="14.25" customHeight="1">
      <c r="F617" s="5"/>
    </row>
    <row r="618" ht="14.25" customHeight="1">
      <c r="F618" s="5"/>
    </row>
    <row r="619" ht="14.25" customHeight="1">
      <c r="F619" s="5"/>
    </row>
    <row r="620" ht="14.25" customHeight="1">
      <c r="F620" s="5"/>
    </row>
    <row r="621" ht="14.25" customHeight="1">
      <c r="F621" s="5"/>
    </row>
    <row r="622" ht="14.25" customHeight="1">
      <c r="F622" s="5"/>
    </row>
    <row r="623" ht="14.25" customHeight="1">
      <c r="F623" s="5"/>
    </row>
    <row r="624" ht="14.25" customHeight="1">
      <c r="F624" s="5"/>
    </row>
    <row r="625" ht="14.25" customHeight="1">
      <c r="F625" s="5"/>
    </row>
    <row r="626" ht="14.25" customHeight="1">
      <c r="F626" s="5"/>
    </row>
    <row r="627" ht="14.25" customHeight="1">
      <c r="F627" s="5"/>
    </row>
    <row r="628" ht="14.25" customHeight="1">
      <c r="F628" s="5"/>
    </row>
    <row r="629" ht="14.25" customHeight="1">
      <c r="F629" s="5"/>
    </row>
    <row r="630" ht="14.25" customHeight="1">
      <c r="F630" s="5"/>
    </row>
    <row r="631" ht="14.25" customHeight="1">
      <c r="F631" s="5"/>
    </row>
    <row r="632" ht="14.25" customHeight="1">
      <c r="F632" s="5"/>
    </row>
    <row r="633" ht="14.25" customHeight="1">
      <c r="F633" s="5"/>
    </row>
    <row r="634" ht="14.25" customHeight="1">
      <c r="F634" s="5"/>
    </row>
    <row r="635" ht="14.25" customHeight="1">
      <c r="F635" s="5"/>
    </row>
    <row r="636" ht="14.25" customHeight="1">
      <c r="F636" s="5"/>
    </row>
    <row r="637" ht="14.25" customHeight="1">
      <c r="F637" s="5"/>
    </row>
    <row r="638" ht="14.25" customHeight="1">
      <c r="F638" s="5"/>
    </row>
    <row r="639" ht="14.25" customHeight="1">
      <c r="F639" s="5"/>
    </row>
    <row r="640" ht="14.25" customHeight="1">
      <c r="F640" s="5"/>
    </row>
    <row r="641" ht="14.25" customHeight="1">
      <c r="F641" s="5"/>
    </row>
    <row r="642" ht="14.25" customHeight="1">
      <c r="F642" s="5"/>
    </row>
    <row r="643" ht="14.25" customHeight="1">
      <c r="F643" s="5"/>
    </row>
    <row r="644" ht="14.25" customHeight="1">
      <c r="F644" s="5"/>
    </row>
    <row r="645" ht="14.25" customHeight="1">
      <c r="F645" s="5"/>
    </row>
    <row r="646" ht="14.25" customHeight="1">
      <c r="F646" s="5"/>
    </row>
    <row r="647" ht="14.25" customHeight="1">
      <c r="F647" s="5"/>
    </row>
    <row r="648" ht="14.25" customHeight="1">
      <c r="F648" s="5"/>
    </row>
    <row r="649" ht="14.25" customHeight="1">
      <c r="F649" s="5"/>
    </row>
    <row r="650" ht="14.25" customHeight="1">
      <c r="F650" s="5"/>
    </row>
    <row r="651" ht="14.25" customHeight="1">
      <c r="F651" s="5"/>
    </row>
    <row r="652" ht="14.25" customHeight="1">
      <c r="F652" s="5"/>
    </row>
    <row r="653" ht="14.25" customHeight="1">
      <c r="F653" s="5"/>
    </row>
    <row r="654" ht="14.25" customHeight="1">
      <c r="F654" s="5"/>
    </row>
    <row r="655" ht="14.25" customHeight="1">
      <c r="F655" s="5"/>
    </row>
    <row r="656" ht="14.25" customHeight="1">
      <c r="F656" s="5"/>
    </row>
    <row r="657" ht="14.25" customHeight="1">
      <c r="F657" s="5"/>
    </row>
    <row r="658" ht="14.25" customHeight="1">
      <c r="F658" s="5"/>
    </row>
    <row r="659" ht="14.25" customHeight="1">
      <c r="F659" s="5"/>
    </row>
    <row r="660" ht="14.25" customHeight="1">
      <c r="F660" s="5"/>
    </row>
    <row r="661" ht="14.25" customHeight="1">
      <c r="F661" s="5"/>
    </row>
    <row r="662" ht="14.25" customHeight="1">
      <c r="F662" s="5"/>
    </row>
    <row r="663" ht="14.25" customHeight="1">
      <c r="F663" s="5"/>
    </row>
    <row r="664" ht="14.25" customHeight="1">
      <c r="F664" s="5"/>
    </row>
    <row r="665" ht="14.25" customHeight="1">
      <c r="F665" s="5"/>
    </row>
    <row r="666" ht="14.25" customHeight="1">
      <c r="F666" s="5"/>
    </row>
    <row r="667" ht="14.25" customHeight="1">
      <c r="F667" s="5"/>
    </row>
    <row r="668" ht="14.25" customHeight="1">
      <c r="F668" s="5"/>
    </row>
    <row r="669" ht="14.25" customHeight="1">
      <c r="F669" s="5"/>
    </row>
    <row r="670" ht="14.25" customHeight="1">
      <c r="F670" s="5"/>
    </row>
    <row r="671" ht="14.25" customHeight="1">
      <c r="F671" s="5"/>
    </row>
    <row r="672" ht="14.25" customHeight="1">
      <c r="F672" s="5"/>
    </row>
    <row r="673" ht="14.25" customHeight="1">
      <c r="F673" s="5"/>
    </row>
    <row r="674" ht="14.25" customHeight="1">
      <c r="F674" s="5"/>
    </row>
    <row r="675" ht="14.25" customHeight="1">
      <c r="F675" s="5"/>
    </row>
    <row r="676" ht="14.25" customHeight="1">
      <c r="F676" s="5"/>
    </row>
    <row r="677" ht="14.25" customHeight="1">
      <c r="F677" s="5"/>
    </row>
    <row r="678" ht="14.25" customHeight="1">
      <c r="F678" s="5"/>
    </row>
    <row r="679" ht="14.25" customHeight="1">
      <c r="F679" s="5"/>
    </row>
    <row r="680" ht="14.25" customHeight="1">
      <c r="F680" s="5"/>
    </row>
    <row r="681" ht="14.25" customHeight="1">
      <c r="F681" s="5"/>
    </row>
    <row r="682" ht="14.25" customHeight="1">
      <c r="F682" s="5"/>
    </row>
    <row r="683" ht="14.25" customHeight="1">
      <c r="F683" s="5"/>
    </row>
    <row r="684" ht="14.25" customHeight="1">
      <c r="F684" s="5"/>
    </row>
    <row r="685" ht="14.25" customHeight="1">
      <c r="F685" s="5"/>
    </row>
    <row r="686" ht="14.25" customHeight="1">
      <c r="F686" s="5"/>
    </row>
    <row r="687" ht="14.25" customHeight="1">
      <c r="F687" s="5"/>
    </row>
    <row r="688" ht="14.25" customHeight="1">
      <c r="F688" s="5"/>
    </row>
    <row r="689" ht="14.25" customHeight="1">
      <c r="F689" s="5"/>
    </row>
    <row r="690" ht="14.25" customHeight="1">
      <c r="F690" s="5"/>
    </row>
    <row r="691" ht="14.25" customHeight="1">
      <c r="F691" s="5"/>
    </row>
    <row r="692" ht="14.25" customHeight="1">
      <c r="F692" s="5"/>
    </row>
    <row r="693" ht="14.25" customHeight="1">
      <c r="F693" s="5"/>
    </row>
    <row r="694" ht="14.25" customHeight="1">
      <c r="F694" s="5"/>
    </row>
    <row r="695" ht="14.25" customHeight="1">
      <c r="F695" s="5"/>
    </row>
    <row r="696" ht="14.25" customHeight="1">
      <c r="F696" s="5"/>
    </row>
    <row r="697" ht="14.25" customHeight="1">
      <c r="F697" s="5"/>
    </row>
    <row r="698" ht="14.25" customHeight="1">
      <c r="F698" s="5"/>
    </row>
    <row r="699" ht="14.25" customHeight="1">
      <c r="F699" s="5"/>
    </row>
    <row r="700" ht="14.25" customHeight="1">
      <c r="F700" s="5"/>
    </row>
    <row r="701" ht="14.25" customHeight="1">
      <c r="F701" s="5"/>
    </row>
    <row r="702" ht="14.25" customHeight="1">
      <c r="F702" s="5"/>
    </row>
    <row r="703" ht="14.25" customHeight="1">
      <c r="F703" s="5"/>
    </row>
    <row r="704" ht="14.25" customHeight="1">
      <c r="F704" s="5"/>
    </row>
    <row r="705" ht="14.25" customHeight="1">
      <c r="F705" s="5"/>
    </row>
    <row r="706" ht="14.25" customHeight="1">
      <c r="F706" s="5"/>
    </row>
    <row r="707" ht="14.25" customHeight="1">
      <c r="F707" s="5"/>
    </row>
    <row r="708" ht="14.25" customHeight="1">
      <c r="F708" s="5"/>
    </row>
    <row r="709" ht="14.25" customHeight="1">
      <c r="F709" s="5"/>
    </row>
    <row r="710" ht="14.25" customHeight="1">
      <c r="F710" s="5"/>
    </row>
    <row r="711" ht="14.25" customHeight="1">
      <c r="F711" s="5"/>
    </row>
    <row r="712" ht="14.25" customHeight="1">
      <c r="F712" s="5"/>
    </row>
    <row r="713" ht="14.25" customHeight="1">
      <c r="F713" s="5"/>
    </row>
    <row r="714" ht="14.25" customHeight="1">
      <c r="F714" s="5"/>
    </row>
    <row r="715" ht="14.25" customHeight="1">
      <c r="F715" s="5"/>
    </row>
    <row r="716" ht="14.25" customHeight="1">
      <c r="F716" s="5"/>
    </row>
    <row r="717" ht="14.25" customHeight="1">
      <c r="F717" s="5"/>
    </row>
    <row r="718" ht="14.25" customHeight="1">
      <c r="F718" s="5"/>
    </row>
    <row r="719" ht="14.25" customHeight="1">
      <c r="F719" s="5"/>
    </row>
    <row r="720" ht="14.25" customHeight="1">
      <c r="F720" s="5"/>
    </row>
    <row r="721" ht="14.25" customHeight="1">
      <c r="F721" s="5"/>
    </row>
    <row r="722" ht="14.25" customHeight="1">
      <c r="F722" s="5"/>
    </row>
    <row r="723" ht="14.25" customHeight="1">
      <c r="F723" s="5"/>
    </row>
    <row r="724" ht="14.25" customHeight="1">
      <c r="F724" s="5"/>
    </row>
    <row r="725" ht="14.25" customHeight="1">
      <c r="F725" s="5"/>
    </row>
    <row r="726" ht="14.25" customHeight="1">
      <c r="F726" s="5"/>
    </row>
    <row r="727" ht="14.25" customHeight="1">
      <c r="F727" s="5"/>
    </row>
    <row r="728" ht="14.25" customHeight="1">
      <c r="F728" s="5"/>
    </row>
    <row r="729" ht="14.25" customHeight="1">
      <c r="F729" s="5"/>
    </row>
    <row r="730" ht="14.25" customHeight="1">
      <c r="F730" s="5"/>
    </row>
    <row r="731" ht="14.25" customHeight="1">
      <c r="F731" s="5"/>
    </row>
    <row r="732" ht="14.25" customHeight="1">
      <c r="F732" s="5"/>
    </row>
    <row r="733" ht="14.25" customHeight="1">
      <c r="F733" s="5"/>
    </row>
    <row r="734" ht="14.25" customHeight="1">
      <c r="F734" s="5"/>
    </row>
    <row r="735" ht="14.25" customHeight="1">
      <c r="F735" s="5"/>
    </row>
    <row r="736" ht="14.25" customHeight="1">
      <c r="F736" s="5"/>
    </row>
    <row r="737" ht="14.25" customHeight="1">
      <c r="F737" s="5"/>
    </row>
    <row r="738" ht="14.25" customHeight="1">
      <c r="F738" s="5"/>
    </row>
    <row r="739" ht="14.25" customHeight="1">
      <c r="F739" s="5"/>
    </row>
    <row r="740" ht="14.25" customHeight="1">
      <c r="F740" s="5"/>
    </row>
    <row r="741" ht="14.25" customHeight="1">
      <c r="F741" s="5"/>
    </row>
    <row r="742" ht="14.25" customHeight="1">
      <c r="F742" s="5"/>
    </row>
    <row r="743" ht="14.25" customHeight="1">
      <c r="F743" s="5"/>
    </row>
    <row r="744" ht="14.25" customHeight="1">
      <c r="F744" s="5"/>
    </row>
    <row r="745" ht="14.25" customHeight="1">
      <c r="F745" s="5"/>
    </row>
    <row r="746" ht="14.25" customHeight="1">
      <c r="F746" s="5"/>
    </row>
    <row r="747" ht="14.25" customHeight="1">
      <c r="F747" s="5"/>
    </row>
    <row r="748" ht="14.25" customHeight="1">
      <c r="F748" s="5"/>
    </row>
    <row r="749" ht="14.25" customHeight="1">
      <c r="F749" s="5"/>
    </row>
    <row r="750" ht="14.25" customHeight="1">
      <c r="F750" s="5"/>
    </row>
    <row r="751" ht="14.25" customHeight="1">
      <c r="F751" s="5"/>
    </row>
    <row r="752" ht="14.25" customHeight="1">
      <c r="F752" s="5"/>
    </row>
    <row r="753" ht="14.25" customHeight="1">
      <c r="F753" s="5"/>
    </row>
    <row r="754" ht="14.25" customHeight="1">
      <c r="F754" s="5"/>
    </row>
    <row r="755" ht="14.25" customHeight="1">
      <c r="F755" s="5"/>
    </row>
    <row r="756" ht="14.25" customHeight="1">
      <c r="F756" s="5"/>
    </row>
    <row r="757" ht="14.25" customHeight="1">
      <c r="F757" s="5"/>
    </row>
    <row r="758" ht="14.25" customHeight="1">
      <c r="F758" s="5"/>
    </row>
    <row r="759" ht="14.25" customHeight="1">
      <c r="F759" s="5"/>
    </row>
    <row r="760" ht="14.25" customHeight="1">
      <c r="F760" s="5"/>
    </row>
    <row r="761" ht="14.25" customHeight="1">
      <c r="F761" s="5"/>
    </row>
    <row r="762" ht="14.25" customHeight="1">
      <c r="F762" s="5"/>
    </row>
    <row r="763" ht="14.25" customHeight="1">
      <c r="F763" s="5"/>
    </row>
    <row r="764" ht="14.25" customHeight="1">
      <c r="F764" s="5"/>
    </row>
    <row r="765" ht="14.25" customHeight="1">
      <c r="F765" s="5"/>
    </row>
    <row r="766" ht="14.25" customHeight="1">
      <c r="F766" s="5"/>
    </row>
    <row r="767" ht="14.25" customHeight="1">
      <c r="F767" s="5"/>
    </row>
    <row r="768" ht="14.25" customHeight="1">
      <c r="F768" s="5"/>
    </row>
    <row r="769" ht="14.25" customHeight="1">
      <c r="F769" s="5"/>
    </row>
    <row r="770" ht="14.25" customHeight="1">
      <c r="F770" s="5"/>
    </row>
    <row r="771" ht="14.25" customHeight="1">
      <c r="F771" s="5"/>
    </row>
    <row r="772" ht="14.25" customHeight="1">
      <c r="F772" s="5"/>
    </row>
    <row r="773" ht="14.25" customHeight="1">
      <c r="F773" s="5"/>
    </row>
    <row r="774" ht="14.25" customHeight="1">
      <c r="F774" s="5"/>
    </row>
    <row r="775" ht="14.25" customHeight="1">
      <c r="F775" s="5"/>
    </row>
    <row r="776" ht="14.25" customHeight="1">
      <c r="F776" s="5"/>
    </row>
    <row r="777" ht="14.25" customHeight="1">
      <c r="F777" s="5"/>
    </row>
    <row r="778" ht="14.25" customHeight="1">
      <c r="F778" s="5"/>
    </row>
    <row r="779" ht="14.25" customHeight="1">
      <c r="F779" s="5"/>
    </row>
    <row r="780" ht="14.25" customHeight="1">
      <c r="F780" s="5"/>
    </row>
    <row r="781" ht="14.25" customHeight="1">
      <c r="F781" s="5"/>
    </row>
    <row r="782" ht="14.25" customHeight="1">
      <c r="F782" s="5"/>
    </row>
    <row r="783" ht="14.25" customHeight="1">
      <c r="F783" s="5"/>
    </row>
    <row r="784" ht="14.25" customHeight="1">
      <c r="F784" s="5"/>
    </row>
    <row r="785" ht="14.25" customHeight="1">
      <c r="F785" s="5"/>
    </row>
    <row r="786" ht="14.25" customHeight="1">
      <c r="F786" s="5"/>
    </row>
    <row r="787" ht="14.25" customHeight="1">
      <c r="F787" s="5"/>
    </row>
    <row r="788" ht="14.25" customHeight="1">
      <c r="F788" s="5"/>
    </row>
    <row r="789" ht="14.25" customHeight="1">
      <c r="F789" s="5"/>
    </row>
    <row r="790" ht="14.25" customHeight="1">
      <c r="F790" s="5"/>
    </row>
    <row r="791" ht="14.25" customHeight="1">
      <c r="F791" s="5"/>
    </row>
    <row r="792" ht="14.25" customHeight="1">
      <c r="F792" s="5"/>
    </row>
    <row r="793" ht="14.25" customHeight="1">
      <c r="F793" s="5"/>
    </row>
    <row r="794" ht="14.25" customHeight="1">
      <c r="F794" s="5"/>
    </row>
    <row r="795" ht="14.25" customHeight="1">
      <c r="F795" s="5"/>
    </row>
    <row r="796" ht="14.25" customHeight="1">
      <c r="F796" s="5"/>
    </row>
    <row r="797" ht="14.25" customHeight="1">
      <c r="F797" s="5"/>
    </row>
    <row r="798" ht="14.25" customHeight="1">
      <c r="F798" s="5"/>
    </row>
    <row r="799" ht="14.25" customHeight="1">
      <c r="F799" s="5"/>
    </row>
    <row r="800" ht="14.25" customHeight="1">
      <c r="F800" s="5"/>
    </row>
    <row r="801" ht="14.25" customHeight="1">
      <c r="F801" s="5"/>
    </row>
    <row r="802" ht="14.25" customHeight="1">
      <c r="F802" s="5"/>
    </row>
    <row r="803" ht="14.25" customHeight="1">
      <c r="F803" s="5"/>
    </row>
    <row r="804" ht="14.25" customHeight="1">
      <c r="F804" s="5"/>
    </row>
    <row r="805" ht="14.25" customHeight="1">
      <c r="F805" s="5"/>
    </row>
    <row r="806" ht="14.25" customHeight="1">
      <c r="F806" s="5"/>
    </row>
    <row r="807" ht="14.25" customHeight="1">
      <c r="F807" s="5"/>
    </row>
    <row r="808" ht="14.25" customHeight="1">
      <c r="F808" s="5"/>
    </row>
    <row r="809" ht="14.25" customHeight="1">
      <c r="F809" s="5"/>
    </row>
    <row r="810" ht="14.25" customHeight="1">
      <c r="F810" s="5"/>
    </row>
    <row r="811" ht="14.25" customHeight="1">
      <c r="F811" s="5"/>
    </row>
    <row r="812" ht="14.25" customHeight="1">
      <c r="F812" s="5"/>
    </row>
    <row r="813" ht="14.25" customHeight="1">
      <c r="F813" s="5"/>
    </row>
    <row r="814" ht="14.25" customHeight="1">
      <c r="F814" s="5"/>
    </row>
    <row r="815" ht="14.25" customHeight="1">
      <c r="F815" s="5"/>
    </row>
    <row r="816" ht="14.25" customHeight="1">
      <c r="F816" s="5"/>
    </row>
    <row r="817" ht="14.25" customHeight="1">
      <c r="F817" s="5"/>
    </row>
    <row r="818" ht="14.25" customHeight="1">
      <c r="F818" s="5"/>
    </row>
    <row r="819" ht="14.25" customHeight="1">
      <c r="F819" s="5"/>
    </row>
    <row r="820" ht="14.25" customHeight="1">
      <c r="F820" s="5"/>
    </row>
    <row r="821" ht="14.25" customHeight="1">
      <c r="F821" s="5"/>
    </row>
    <row r="822" ht="14.25" customHeight="1">
      <c r="F822" s="5"/>
    </row>
    <row r="823" ht="14.25" customHeight="1">
      <c r="F823" s="5"/>
    </row>
    <row r="824" ht="14.25" customHeight="1">
      <c r="F824" s="5"/>
    </row>
    <row r="825" ht="14.25" customHeight="1">
      <c r="F825" s="5"/>
    </row>
    <row r="826" ht="14.25" customHeight="1">
      <c r="F826" s="5"/>
    </row>
    <row r="827" ht="14.25" customHeight="1">
      <c r="F827" s="5"/>
    </row>
    <row r="828" ht="14.25" customHeight="1">
      <c r="F828" s="5"/>
    </row>
    <row r="829" ht="14.25" customHeight="1">
      <c r="F829" s="5"/>
    </row>
    <row r="830" ht="14.25" customHeight="1">
      <c r="F830" s="5"/>
    </row>
    <row r="831" ht="14.25" customHeight="1">
      <c r="F831" s="5"/>
    </row>
    <row r="832" ht="14.25" customHeight="1">
      <c r="F832" s="5"/>
    </row>
    <row r="833" ht="14.25" customHeight="1">
      <c r="F833" s="5"/>
    </row>
    <row r="834" ht="14.25" customHeight="1">
      <c r="F834" s="5"/>
    </row>
    <row r="835" ht="14.25" customHeight="1">
      <c r="F835" s="5"/>
    </row>
    <row r="836" ht="14.25" customHeight="1">
      <c r="F836" s="5"/>
    </row>
    <row r="837" ht="14.25" customHeight="1">
      <c r="F837" s="5"/>
    </row>
    <row r="838" ht="14.25" customHeight="1">
      <c r="F838" s="5"/>
    </row>
    <row r="839" ht="14.25" customHeight="1">
      <c r="F839" s="5"/>
    </row>
    <row r="840" ht="14.25" customHeight="1">
      <c r="F840" s="5"/>
    </row>
    <row r="841" ht="14.25" customHeight="1">
      <c r="F841" s="5"/>
    </row>
    <row r="842" ht="14.25" customHeight="1">
      <c r="F842" s="5"/>
    </row>
    <row r="843" ht="14.25" customHeight="1">
      <c r="F843" s="5"/>
    </row>
    <row r="844" ht="14.25" customHeight="1">
      <c r="F844" s="5"/>
    </row>
    <row r="845" ht="14.25" customHeight="1">
      <c r="F845" s="5"/>
    </row>
    <row r="846" ht="14.25" customHeight="1">
      <c r="F846" s="5"/>
    </row>
    <row r="847" ht="14.25" customHeight="1">
      <c r="F847" s="5"/>
    </row>
    <row r="848" ht="14.25" customHeight="1">
      <c r="F848" s="5"/>
    </row>
    <row r="849" ht="14.25" customHeight="1">
      <c r="F849" s="5"/>
    </row>
    <row r="850" ht="14.25" customHeight="1">
      <c r="F850" s="5"/>
    </row>
    <row r="851" ht="14.25" customHeight="1">
      <c r="F851" s="5"/>
    </row>
    <row r="852" ht="14.25" customHeight="1">
      <c r="F852" s="5"/>
    </row>
    <row r="853" ht="14.25" customHeight="1">
      <c r="F853" s="5"/>
    </row>
    <row r="854" ht="14.25" customHeight="1">
      <c r="F854" s="5"/>
    </row>
    <row r="855" ht="14.25" customHeight="1">
      <c r="F855" s="5"/>
    </row>
    <row r="856" ht="14.25" customHeight="1">
      <c r="F856" s="5"/>
    </row>
    <row r="857" ht="14.25" customHeight="1">
      <c r="F857" s="5"/>
    </row>
    <row r="858" ht="14.25" customHeight="1">
      <c r="F858" s="5"/>
    </row>
    <row r="859" ht="14.25" customHeight="1">
      <c r="F859" s="5"/>
    </row>
    <row r="860" ht="14.25" customHeight="1">
      <c r="F860" s="5"/>
    </row>
    <row r="861" ht="14.25" customHeight="1">
      <c r="F861" s="5"/>
    </row>
    <row r="862" ht="14.25" customHeight="1">
      <c r="F862" s="5"/>
    </row>
    <row r="863" ht="14.25" customHeight="1">
      <c r="F863" s="5"/>
    </row>
    <row r="864" ht="14.25" customHeight="1">
      <c r="F864" s="5"/>
    </row>
    <row r="865" ht="14.25" customHeight="1">
      <c r="F865" s="5"/>
    </row>
    <row r="866" ht="14.25" customHeight="1">
      <c r="F866" s="5"/>
    </row>
    <row r="867" ht="14.25" customHeight="1">
      <c r="F867" s="5"/>
    </row>
    <row r="868" ht="14.25" customHeight="1">
      <c r="F868" s="5"/>
    </row>
    <row r="869" ht="14.25" customHeight="1">
      <c r="F869" s="5"/>
    </row>
    <row r="870" ht="14.25" customHeight="1">
      <c r="F870" s="5"/>
    </row>
    <row r="871" ht="14.25" customHeight="1">
      <c r="F871" s="5"/>
    </row>
    <row r="872" ht="14.25" customHeight="1">
      <c r="F872" s="5"/>
    </row>
    <row r="873" ht="14.25" customHeight="1">
      <c r="F873" s="5"/>
    </row>
    <row r="874" ht="14.25" customHeight="1">
      <c r="F874" s="5"/>
    </row>
    <row r="875" ht="14.25" customHeight="1">
      <c r="F875" s="5"/>
    </row>
    <row r="876" ht="14.25" customHeight="1">
      <c r="F876" s="5"/>
    </row>
    <row r="877" ht="14.25" customHeight="1">
      <c r="F877" s="5"/>
    </row>
    <row r="878" ht="14.25" customHeight="1">
      <c r="F878" s="5"/>
    </row>
    <row r="879" ht="14.25" customHeight="1">
      <c r="F879" s="5"/>
    </row>
    <row r="880" ht="14.25" customHeight="1">
      <c r="F880" s="5"/>
    </row>
    <row r="881" ht="14.25" customHeight="1">
      <c r="F881" s="5"/>
    </row>
    <row r="882" ht="14.25" customHeight="1">
      <c r="F882" s="5"/>
    </row>
    <row r="883" ht="14.25" customHeight="1">
      <c r="F883" s="5"/>
    </row>
    <row r="884" ht="14.25" customHeight="1">
      <c r="F884" s="5"/>
    </row>
    <row r="885" ht="14.25" customHeight="1">
      <c r="F885" s="5"/>
    </row>
    <row r="886" ht="14.25" customHeight="1">
      <c r="F886" s="5"/>
    </row>
    <row r="887" ht="14.25" customHeight="1">
      <c r="F887" s="5"/>
    </row>
    <row r="888" ht="14.25" customHeight="1">
      <c r="F888" s="5"/>
    </row>
    <row r="889" ht="14.25" customHeight="1">
      <c r="F889" s="5"/>
    </row>
    <row r="890" ht="14.25" customHeight="1">
      <c r="F890" s="5"/>
    </row>
    <row r="891" ht="14.25" customHeight="1">
      <c r="F891" s="5"/>
    </row>
    <row r="892" ht="14.25" customHeight="1">
      <c r="F892" s="5"/>
    </row>
    <row r="893" ht="14.25" customHeight="1">
      <c r="F893" s="5"/>
    </row>
    <row r="894" ht="14.25" customHeight="1">
      <c r="F894" s="5"/>
    </row>
    <row r="895" ht="14.25" customHeight="1">
      <c r="F895" s="5"/>
    </row>
    <row r="896" ht="14.25" customHeight="1">
      <c r="F896" s="5"/>
    </row>
    <row r="897" ht="14.25" customHeight="1">
      <c r="F897" s="5"/>
    </row>
    <row r="898" ht="14.25" customHeight="1">
      <c r="F898" s="5"/>
    </row>
    <row r="899" ht="14.25" customHeight="1">
      <c r="F899" s="5"/>
    </row>
    <row r="900" ht="14.25" customHeight="1">
      <c r="F900" s="5"/>
    </row>
    <row r="901" ht="14.25" customHeight="1">
      <c r="F901" s="5"/>
    </row>
    <row r="902" ht="14.25" customHeight="1">
      <c r="F902" s="5"/>
    </row>
    <row r="903" ht="14.25" customHeight="1">
      <c r="F903" s="5"/>
    </row>
    <row r="904" ht="14.25" customHeight="1">
      <c r="F904" s="5"/>
    </row>
    <row r="905" ht="14.25" customHeight="1">
      <c r="F905" s="5"/>
    </row>
    <row r="906" ht="14.25" customHeight="1">
      <c r="F906" s="5"/>
    </row>
    <row r="907" ht="14.25" customHeight="1">
      <c r="F907" s="5"/>
    </row>
    <row r="908" ht="14.25" customHeight="1">
      <c r="F908" s="5"/>
    </row>
    <row r="909" ht="14.25" customHeight="1">
      <c r="F909" s="5"/>
    </row>
    <row r="910" ht="14.25" customHeight="1">
      <c r="F910" s="5"/>
    </row>
    <row r="911" ht="14.25" customHeight="1">
      <c r="F911" s="5"/>
    </row>
    <row r="912" ht="14.25" customHeight="1">
      <c r="F912" s="5"/>
    </row>
    <row r="913" ht="14.25" customHeight="1">
      <c r="F913" s="5"/>
    </row>
    <row r="914" ht="14.25" customHeight="1">
      <c r="F914" s="5"/>
    </row>
    <row r="915" ht="14.25" customHeight="1">
      <c r="F915" s="5"/>
    </row>
    <row r="916" ht="14.25" customHeight="1">
      <c r="F916" s="5"/>
    </row>
    <row r="917" ht="14.25" customHeight="1">
      <c r="F917" s="5"/>
    </row>
    <row r="918" ht="14.25" customHeight="1">
      <c r="F918" s="5"/>
    </row>
    <row r="919" ht="14.25" customHeight="1">
      <c r="F919" s="5"/>
    </row>
    <row r="920" ht="14.25" customHeight="1">
      <c r="F920" s="5"/>
    </row>
    <row r="921" ht="14.25" customHeight="1">
      <c r="F921" s="5"/>
    </row>
    <row r="922" ht="14.25" customHeight="1">
      <c r="F922" s="5"/>
    </row>
    <row r="923" ht="14.25" customHeight="1">
      <c r="F923" s="5"/>
    </row>
    <row r="924" ht="14.25" customHeight="1">
      <c r="F924" s="5"/>
    </row>
    <row r="925" ht="14.25" customHeight="1">
      <c r="F925" s="5"/>
    </row>
    <row r="926" ht="14.25" customHeight="1">
      <c r="F926" s="5"/>
    </row>
    <row r="927" ht="14.25" customHeight="1">
      <c r="F927" s="5"/>
    </row>
    <row r="928" ht="14.25" customHeight="1">
      <c r="F928" s="5"/>
    </row>
    <row r="929" ht="14.25" customHeight="1">
      <c r="F929" s="5"/>
    </row>
    <row r="930" ht="14.25" customHeight="1">
      <c r="F930" s="5"/>
    </row>
    <row r="931" ht="14.25" customHeight="1">
      <c r="F931" s="5"/>
    </row>
    <row r="932" ht="14.25" customHeight="1">
      <c r="F932" s="5"/>
    </row>
    <row r="933" ht="14.25" customHeight="1">
      <c r="F933" s="5"/>
    </row>
    <row r="934" ht="14.25" customHeight="1">
      <c r="F934" s="5"/>
    </row>
    <row r="935" ht="14.25" customHeight="1">
      <c r="F935" s="5"/>
    </row>
    <row r="936" ht="14.25" customHeight="1">
      <c r="F936" s="5"/>
    </row>
    <row r="937" ht="14.25" customHeight="1">
      <c r="F937" s="5"/>
    </row>
    <row r="938" ht="14.25" customHeight="1">
      <c r="F938" s="5"/>
    </row>
    <row r="939" ht="14.25" customHeight="1">
      <c r="F939" s="5"/>
    </row>
    <row r="940" ht="14.25" customHeight="1">
      <c r="F940" s="5"/>
    </row>
    <row r="941" ht="14.25" customHeight="1">
      <c r="F941" s="5"/>
    </row>
    <row r="942" ht="14.25" customHeight="1">
      <c r="F942" s="5"/>
    </row>
    <row r="943" ht="14.25" customHeight="1">
      <c r="F943" s="5"/>
    </row>
    <row r="944" ht="14.25" customHeight="1">
      <c r="F944" s="5"/>
    </row>
    <row r="945" ht="14.25" customHeight="1">
      <c r="F945" s="5"/>
    </row>
    <row r="946" ht="14.25" customHeight="1">
      <c r="F946" s="5"/>
    </row>
    <row r="947" ht="14.25" customHeight="1">
      <c r="F947" s="5"/>
    </row>
    <row r="948" ht="14.25" customHeight="1">
      <c r="F948" s="5"/>
    </row>
    <row r="949" ht="14.25" customHeight="1">
      <c r="F949" s="5"/>
    </row>
    <row r="950" ht="14.25" customHeight="1">
      <c r="F950" s="5"/>
    </row>
    <row r="951" ht="14.25" customHeight="1">
      <c r="F951" s="5"/>
    </row>
    <row r="952" ht="14.25" customHeight="1">
      <c r="F952" s="5"/>
    </row>
    <row r="953" ht="14.25" customHeight="1">
      <c r="F953" s="5"/>
    </row>
    <row r="954" ht="14.25" customHeight="1">
      <c r="F954" s="5"/>
    </row>
    <row r="955" ht="14.25" customHeight="1">
      <c r="F955" s="5"/>
    </row>
    <row r="956" ht="14.25" customHeight="1">
      <c r="F956" s="5"/>
    </row>
    <row r="957" ht="14.25" customHeight="1">
      <c r="F957" s="5"/>
    </row>
    <row r="958" ht="14.25" customHeight="1">
      <c r="F958" s="5"/>
    </row>
    <row r="959" ht="14.25" customHeight="1">
      <c r="F959" s="5"/>
    </row>
    <row r="960" ht="14.25" customHeight="1">
      <c r="F960" s="5"/>
    </row>
    <row r="961" ht="14.25" customHeight="1">
      <c r="F961" s="5"/>
    </row>
    <row r="962" ht="14.25" customHeight="1">
      <c r="F962" s="5"/>
    </row>
    <row r="963" ht="14.25" customHeight="1">
      <c r="F963" s="5"/>
    </row>
    <row r="964" ht="14.25" customHeight="1">
      <c r="F964" s="5"/>
    </row>
    <row r="965" ht="14.25" customHeight="1">
      <c r="F965" s="5"/>
    </row>
    <row r="966" ht="14.25" customHeight="1">
      <c r="F966" s="5"/>
    </row>
    <row r="967" ht="14.25" customHeight="1">
      <c r="F967" s="5"/>
    </row>
    <row r="968" ht="14.25" customHeight="1">
      <c r="F968" s="5"/>
    </row>
    <row r="969" ht="14.25" customHeight="1">
      <c r="F969" s="5"/>
    </row>
    <row r="970" ht="14.25" customHeight="1">
      <c r="F970" s="5"/>
    </row>
    <row r="971" ht="14.25" customHeight="1">
      <c r="F971" s="5"/>
    </row>
    <row r="972" ht="14.25" customHeight="1">
      <c r="F972" s="5"/>
    </row>
    <row r="973" ht="14.25" customHeight="1">
      <c r="F973" s="5"/>
    </row>
    <row r="974" ht="14.25" customHeight="1">
      <c r="F974" s="5"/>
    </row>
    <row r="975" ht="14.25" customHeight="1">
      <c r="F975" s="5"/>
    </row>
    <row r="976" ht="14.25" customHeight="1">
      <c r="F976" s="5"/>
    </row>
    <row r="977" ht="14.25" customHeight="1">
      <c r="F977" s="5"/>
    </row>
    <row r="978" ht="14.25" customHeight="1">
      <c r="F978" s="5"/>
    </row>
    <row r="979" ht="14.25" customHeight="1">
      <c r="F979" s="5"/>
    </row>
    <row r="980" ht="14.25" customHeight="1">
      <c r="F980" s="5"/>
    </row>
    <row r="981" ht="14.25" customHeight="1">
      <c r="F981" s="5"/>
    </row>
    <row r="982" ht="14.25" customHeight="1">
      <c r="F982" s="5"/>
    </row>
    <row r="983" ht="14.25" customHeight="1">
      <c r="F983" s="5"/>
    </row>
    <row r="984" ht="14.25" customHeight="1">
      <c r="F984" s="5"/>
    </row>
    <row r="985" ht="14.25" customHeight="1">
      <c r="F985" s="5"/>
    </row>
    <row r="986" ht="14.25" customHeight="1">
      <c r="F986" s="5"/>
    </row>
    <row r="987" ht="14.25" customHeight="1">
      <c r="F987" s="5"/>
    </row>
    <row r="988" ht="14.25" customHeight="1">
      <c r="F988" s="5"/>
    </row>
    <row r="989" ht="14.25" customHeight="1">
      <c r="F989" s="5"/>
    </row>
    <row r="990" ht="14.25" customHeight="1">
      <c r="F990" s="5"/>
    </row>
    <row r="991" ht="14.25" customHeight="1">
      <c r="F991" s="5"/>
    </row>
    <row r="992" ht="14.25" customHeight="1">
      <c r="F992" s="5"/>
    </row>
    <row r="993" ht="14.25" customHeight="1">
      <c r="F993" s="5"/>
    </row>
    <row r="994" ht="14.25" customHeight="1">
      <c r="F994" s="5"/>
    </row>
    <row r="995" ht="14.25" customHeight="1">
      <c r="F995" s="5"/>
    </row>
    <row r="996" ht="14.25" customHeight="1">
      <c r="F996" s="5"/>
    </row>
    <row r="997" ht="14.25" customHeight="1">
      <c r="F997" s="5"/>
    </row>
    <row r="998" ht="14.25" customHeight="1">
      <c r="F998" s="5"/>
    </row>
    <row r="999" ht="14.25" customHeight="1">
      <c r="F999" s="5"/>
    </row>
    <row r="1000" ht="14.25" customHeight="1">
      <c r="F1000" s="5"/>
    </row>
  </sheetData>
  <dataValidations>
    <dataValidation type="list" allowBlank="1" showErrorMessage="1" sqref="F2:F1000">
      <formula1>$K$1:$K$4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outlinePr summaryBelow="0" summaryRight="0"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14.57"/>
    <col customWidth="1" min="3" max="3" width="95.14"/>
  </cols>
  <sheetData>
    <row r="1">
      <c r="A1" s="50" t="s">
        <v>411</v>
      </c>
      <c r="B1" s="8"/>
      <c r="C1" s="8"/>
    </row>
    <row r="2">
      <c r="A2" s="8"/>
      <c r="B2" s="8"/>
      <c r="C2" s="8"/>
    </row>
    <row r="3">
      <c r="A3" s="51" t="s">
        <v>412</v>
      </c>
      <c r="B3" s="51" t="s">
        <v>413</v>
      </c>
      <c r="C3" s="51" t="s">
        <v>7</v>
      </c>
    </row>
    <row r="4">
      <c r="A4" s="8" t="s">
        <v>414</v>
      </c>
      <c r="B4" s="52">
        <v>1210000.0</v>
      </c>
      <c r="C4" s="8"/>
    </row>
    <row r="5">
      <c r="A5" s="8" t="s">
        <v>415</v>
      </c>
      <c r="B5" s="53">
        <v>250000.0</v>
      </c>
      <c r="C5" s="23" t="s">
        <v>416</v>
      </c>
    </row>
    <row r="6">
      <c r="A6" s="8" t="s">
        <v>417</v>
      </c>
      <c r="B6" s="54">
        <v>69000.0</v>
      </c>
      <c r="C6" s="23" t="s">
        <v>418</v>
      </c>
    </row>
    <row r="7">
      <c r="A7" s="8" t="s">
        <v>419</v>
      </c>
      <c r="B7" s="55"/>
      <c r="C7" s="8" t="s">
        <v>420</v>
      </c>
    </row>
    <row r="8">
      <c r="A8" s="8" t="s">
        <v>421</v>
      </c>
      <c r="B8" s="53">
        <f>100000+53000</f>
        <v>153000</v>
      </c>
      <c r="C8" s="23" t="s">
        <v>422</v>
      </c>
    </row>
    <row r="9">
      <c r="A9" s="23" t="s">
        <v>423</v>
      </c>
      <c r="B9" s="54">
        <v>80000.0</v>
      </c>
      <c r="C9" s="8"/>
    </row>
    <row r="10">
      <c r="A10" s="8" t="s">
        <v>424</v>
      </c>
      <c r="B10" s="53">
        <f>SUM(B4:B6)*0.1</f>
        <v>152900</v>
      </c>
      <c r="C10" s="8" t="s">
        <v>425</v>
      </c>
    </row>
    <row r="11">
      <c r="A11" s="8"/>
      <c r="B11" s="8"/>
      <c r="C11" s="8"/>
    </row>
    <row r="12">
      <c r="A12" s="17" t="s">
        <v>81</v>
      </c>
      <c r="B12" s="56">
        <f>SUM(B4:B10)</f>
        <v>1914900</v>
      </c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22.29"/>
    <col customWidth="1" min="3" max="3" width="10.71"/>
    <col customWidth="1" min="4" max="4" width="32.86"/>
    <col customWidth="1" min="5" max="5" width="16.29"/>
    <col customWidth="1" min="6" max="6" width="16.14"/>
    <col customWidth="1" min="7" max="7" width="31.29"/>
    <col customWidth="1" min="8" max="8" width="5.0"/>
    <col customWidth="1" min="9" max="9" width="30.0"/>
    <col customWidth="1" min="10" max="10" width="16.14"/>
    <col customWidth="1" min="11" max="11" width="8.71"/>
    <col customWidth="1" min="12" max="12" width="19.0"/>
    <col customWidth="1" min="13" max="13" width="10.29"/>
    <col customWidth="1" min="14" max="14" width="9.57"/>
    <col customWidth="1" min="15" max="15" width="22.0"/>
    <col customWidth="1" min="16" max="16" width="17.57"/>
    <col customWidth="1" min="17" max="29" width="8.71"/>
  </cols>
  <sheetData>
    <row r="1" ht="14.25" customHeight="1">
      <c r="A1" s="43" t="s">
        <v>388</v>
      </c>
      <c r="B1" s="43" t="s">
        <v>426</v>
      </c>
      <c r="C1" s="43" t="s">
        <v>427</v>
      </c>
      <c r="D1" s="43" t="s">
        <v>428</v>
      </c>
      <c r="E1" s="43" t="s">
        <v>397</v>
      </c>
      <c r="F1" s="43" t="s">
        <v>429</v>
      </c>
      <c r="G1" s="57" t="s">
        <v>191</v>
      </c>
      <c r="H1" s="58"/>
      <c r="I1" s="59" t="s">
        <v>430</v>
      </c>
      <c r="J1" s="60"/>
      <c r="K1" s="59"/>
      <c r="L1" s="59" t="s">
        <v>431</v>
      </c>
      <c r="M1" s="59" t="s">
        <v>81</v>
      </c>
      <c r="N1" s="58"/>
      <c r="O1" s="61" t="s">
        <v>432</v>
      </c>
      <c r="P1" s="61" t="s">
        <v>433</v>
      </c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 ht="14.25" customHeight="1">
      <c r="A2" s="47">
        <v>45992.0</v>
      </c>
      <c r="B2" s="5" t="s">
        <v>434</v>
      </c>
      <c r="C2" s="14">
        <v>404000.0</v>
      </c>
      <c r="D2" s="5" t="s">
        <v>435</v>
      </c>
      <c r="E2" s="5" t="s">
        <v>400</v>
      </c>
      <c r="F2" s="5" t="s">
        <v>436</v>
      </c>
      <c r="G2" s="62"/>
      <c r="I2" s="63" t="s">
        <v>434</v>
      </c>
      <c r="J2" s="64">
        <f t="shared" ref="J2:J16" si="1">SUMIF(B:B,I2,C:C)</f>
        <v>3636000</v>
      </c>
      <c r="K2" s="5"/>
      <c r="L2" s="5" t="s">
        <v>437</v>
      </c>
      <c r="M2" s="64">
        <f t="shared" ref="M2:M5" si="2">SUMIF($F$2:$F$1006,L2,$C$2:$C$1006)</f>
        <v>0</v>
      </c>
      <c r="O2" s="46" t="s">
        <v>438</v>
      </c>
      <c r="P2" s="46" t="s">
        <v>439</v>
      </c>
    </row>
    <row r="3" ht="14.25" customHeight="1">
      <c r="A3" s="47">
        <v>45992.0</v>
      </c>
      <c r="B3" s="5" t="s">
        <v>434</v>
      </c>
      <c r="C3" s="14">
        <v>404000.0</v>
      </c>
      <c r="D3" s="5" t="s">
        <v>435</v>
      </c>
      <c r="E3" s="5" t="s">
        <v>400</v>
      </c>
      <c r="F3" s="5" t="s">
        <v>440</v>
      </c>
      <c r="G3" s="62"/>
      <c r="I3" s="63" t="s">
        <v>441</v>
      </c>
      <c r="J3" s="64">
        <f t="shared" si="1"/>
        <v>0</v>
      </c>
      <c r="K3" s="5"/>
      <c r="L3" s="5" t="s">
        <v>436</v>
      </c>
      <c r="M3" s="64">
        <f t="shared" si="2"/>
        <v>5916090</v>
      </c>
      <c r="N3" s="65">
        <f t="shared" ref="N3:N5" si="3">M3-890000</f>
        <v>5026090</v>
      </c>
      <c r="O3" s="46" t="s">
        <v>442</v>
      </c>
      <c r="P3" s="66"/>
    </row>
    <row r="4" ht="14.25" customHeight="1">
      <c r="A4" s="47">
        <v>45992.0</v>
      </c>
      <c r="B4" s="5" t="s">
        <v>434</v>
      </c>
      <c r="C4" s="14">
        <v>404000.0</v>
      </c>
      <c r="D4" s="5" t="s">
        <v>435</v>
      </c>
      <c r="E4" s="5" t="s">
        <v>400</v>
      </c>
      <c r="F4" s="5" t="s">
        <v>97</v>
      </c>
      <c r="G4" s="62"/>
      <c r="I4" s="63" t="s">
        <v>417</v>
      </c>
      <c r="J4" s="64">
        <f t="shared" si="1"/>
        <v>0</v>
      </c>
      <c r="K4" s="5"/>
      <c r="L4" s="5" t="s">
        <v>440</v>
      </c>
      <c r="M4" s="64">
        <f t="shared" si="2"/>
        <v>5779090</v>
      </c>
      <c r="N4" s="65">
        <f t="shared" si="3"/>
        <v>4889090</v>
      </c>
      <c r="O4" s="46" t="s">
        <v>443</v>
      </c>
      <c r="P4" s="66"/>
    </row>
    <row r="5" ht="14.25" customHeight="1">
      <c r="A5" s="47">
        <v>45998.0</v>
      </c>
      <c r="B5" s="5" t="s">
        <v>444</v>
      </c>
      <c r="C5" s="14">
        <v>2000000.0</v>
      </c>
      <c r="D5" s="5" t="s">
        <v>445</v>
      </c>
      <c r="E5" s="5" t="s">
        <v>400</v>
      </c>
      <c r="F5" s="5" t="s">
        <v>436</v>
      </c>
      <c r="G5" s="62"/>
      <c r="I5" s="63" t="s">
        <v>446</v>
      </c>
      <c r="J5" s="64">
        <f t="shared" si="1"/>
        <v>0</v>
      </c>
      <c r="K5" s="5"/>
      <c r="L5" s="5" t="s">
        <v>97</v>
      </c>
      <c r="M5" s="64">
        <f t="shared" si="2"/>
        <v>5751890</v>
      </c>
      <c r="N5" s="65">
        <f t="shared" si="3"/>
        <v>4861890</v>
      </c>
      <c r="O5" s="46" t="s">
        <v>447</v>
      </c>
      <c r="P5" s="66"/>
    </row>
    <row r="6" ht="14.25" customHeight="1">
      <c r="A6" s="47">
        <v>45998.0</v>
      </c>
      <c r="B6" s="5" t="s">
        <v>444</v>
      </c>
      <c r="C6" s="14">
        <v>2000000.0</v>
      </c>
      <c r="D6" s="5" t="s">
        <v>445</v>
      </c>
      <c r="E6" s="5" t="s">
        <v>400</v>
      </c>
      <c r="F6" s="5" t="s">
        <v>440</v>
      </c>
      <c r="G6" s="62"/>
      <c r="I6" s="63" t="s">
        <v>448</v>
      </c>
      <c r="J6" s="64">
        <f t="shared" si="1"/>
        <v>0</v>
      </c>
      <c r="O6" s="46" t="s">
        <v>449</v>
      </c>
      <c r="P6" s="67" t="s">
        <v>450</v>
      </c>
    </row>
    <row r="7" ht="14.25" customHeight="1">
      <c r="A7" s="47">
        <v>45998.0</v>
      </c>
      <c r="B7" s="5" t="s">
        <v>444</v>
      </c>
      <c r="C7" s="14">
        <v>2000000.0</v>
      </c>
      <c r="D7" s="5" t="s">
        <v>445</v>
      </c>
      <c r="E7" s="5" t="s">
        <v>400</v>
      </c>
      <c r="F7" s="5" t="s">
        <v>97</v>
      </c>
      <c r="G7" s="62"/>
      <c r="I7" s="63" t="s">
        <v>451</v>
      </c>
      <c r="J7" s="64">
        <f t="shared" si="1"/>
        <v>224746</v>
      </c>
    </row>
    <row r="8" ht="14.25" customHeight="1">
      <c r="A8" s="47">
        <v>46007.0</v>
      </c>
      <c r="B8" s="5" t="s">
        <v>444</v>
      </c>
      <c r="C8" s="14">
        <v>117000.0</v>
      </c>
      <c r="D8" s="5" t="s">
        <v>452</v>
      </c>
      <c r="E8" s="5" t="s">
        <v>400</v>
      </c>
      <c r="F8" s="5" t="s">
        <v>97</v>
      </c>
      <c r="G8" s="62"/>
      <c r="I8" s="63" t="s">
        <v>453</v>
      </c>
      <c r="J8" s="64">
        <f t="shared" si="1"/>
        <v>0</v>
      </c>
      <c r="L8" s="27" t="s">
        <v>454</v>
      </c>
      <c r="M8" s="68">
        <v>8160000.0</v>
      </c>
    </row>
    <row r="9" ht="14.25" customHeight="1">
      <c r="A9" s="47">
        <v>46007.0</v>
      </c>
      <c r="B9" s="5" t="s">
        <v>444</v>
      </c>
      <c r="C9" s="14">
        <v>117000.0</v>
      </c>
      <c r="D9" s="5" t="s">
        <v>452</v>
      </c>
      <c r="E9" s="5" t="s">
        <v>400</v>
      </c>
      <c r="F9" s="5" t="s">
        <v>440</v>
      </c>
      <c r="G9" s="62"/>
      <c r="I9" s="63" t="s">
        <v>455</v>
      </c>
      <c r="J9" s="64">
        <f t="shared" si="1"/>
        <v>157000</v>
      </c>
      <c r="L9" s="27" t="s">
        <v>456</v>
      </c>
      <c r="M9" s="69">
        <v>160000.0</v>
      </c>
    </row>
    <row r="10" ht="14.25" customHeight="1">
      <c r="A10" s="47">
        <v>46007.0</v>
      </c>
      <c r="B10" s="5" t="s">
        <v>444</v>
      </c>
      <c r="C10" s="14">
        <v>117000.0</v>
      </c>
      <c r="D10" s="5" t="s">
        <v>452</v>
      </c>
      <c r="E10" s="5" t="s">
        <v>400</v>
      </c>
      <c r="F10" s="5" t="s">
        <v>436</v>
      </c>
      <c r="G10" s="62"/>
      <c r="I10" s="63" t="s">
        <v>457</v>
      </c>
      <c r="J10" s="64">
        <f t="shared" si="1"/>
        <v>67100</v>
      </c>
      <c r="L10" s="27"/>
      <c r="M10" s="27"/>
    </row>
    <row r="11" ht="14.25" customHeight="1">
      <c r="A11" s="47">
        <v>46008.0</v>
      </c>
      <c r="B11" s="5" t="s">
        <v>444</v>
      </c>
      <c r="C11" s="14">
        <v>18000.0</v>
      </c>
      <c r="D11" s="5" t="s">
        <v>458</v>
      </c>
      <c r="E11" s="5" t="s">
        <v>400</v>
      </c>
      <c r="F11" s="5" t="s">
        <v>97</v>
      </c>
      <c r="G11" s="62"/>
      <c r="I11" s="63" t="s">
        <v>459</v>
      </c>
      <c r="J11" s="64">
        <f t="shared" si="1"/>
        <v>0</v>
      </c>
      <c r="L11" s="27" t="s">
        <v>460</v>
      </c>
      <c r="M11" s="68">
        <v>2720000.0</v>
      </c>
    </row>
    <row r="12" ht="14.25" customHeight="1">
      <c r="A12" s="47">
        <v>46008.0</v>
      </c>
      <c r="B12" s="5" t="s">
        <v>444</v>
      </c>
      <c r="C12" s="14">
        <v>18000.0</v>
      </c>
      <c r="D12" s="5" t="s">
        <v>458</v>
      </c>
      <c r="E12" s="5" t="s">
        <v>400</v>
      </c>
      <c r="F12" s="5" t="s">
        <v>440</v>
      </c>
      <c r="G12" s="62"/>
      <c r="I12" s="63" t="s">
        <v>461</v>
      </c>
      <c r="J12" s="64">
        <f t="shared" si="1"/>
        <v>420000</v>
      </c>
      <c r="L12" s="27"/>
      <c r="M12" s="27"/>
    </row>
    <row r="13" ht="14.25" customHeight="1">
      <c r="A13" s="47">
        <v>46008.0</v>
      </c>
      <c r="B13" s="5" t="s">
        <v>444</v>
      </c>
      <c r="C13" s="14">
        <v>18000.0</v>
      </c>
      <c r="D13" s="5" t="s">
        <v>458</v>
      </c>
      <c r="E13" s="5" t="s">
        <v>400</v>
      </c>
      <c r="F13" s="5" t="s">
        <v>436</v>
      </c>
      <c r="G13" s="62"/>
      <c r="I13" s="63" t="s">
        <v>444</v>
      </c>
      <c r="J13" s="64">
        <f t="shared" si="1"/>
        <v>9376100</v>
      </c>
      <c r="L13" s="27"/>
      <c r="M13" s="70"/>
    </row>
    <row r="14" ht="14.25" customHeight="1">
      <c r="A14" s="47">
        <v>46018.0</v>
      </c>
      <c r="B14" s="5" t="s">
        <v>444</v>
      </c>
      <c r="C14" s="14">
        <v>500000.0</v>
      </c>
      <c r="D14" s="5" t="s">
        <v>445</v>
      </c>
      <c r="E14" s="5" t="s">
        <v>400</v>
      </c>
      <c r="F14" s="5" t="s">
        <v>440</v>
      </c>
      <c r="G14" s="62"/>
      <c r="I14" s="63" t="s">
        <v>424</v>
      </c>
      <c r="J14" s="64">
        <f t="shared" si="1"/>
        <v>0</v>
      </c>
      <c r="L14" s="27"/>
      <c r="M14" s="70"/>
    </row>
    <row r="15" ht="14.25" customHeight="1">
      <c r="A15" s="47">
        <v>46018.0</v>
      </c>
      <c r="B15" s="5" t="s">
        <v>444</v>
      </c>
      <c r="C15" s="14">
        <v>100000.0</v>
      </c>
      <c r="D15" s="5" t="s">
        <v>445</v>
      </c>
      <c r="E15" s="5" t="s">
        <v>400</v>
      </c>
      <c r="F15" s="5" t="s">
        <v>97</v>
      </c>
      <c r="G15" s="62"/>
      <c r="I15" s="71" t="s">
        <v>462</v>
      </c>
      <c r="J15" s="64">
        <f t="shared" si="1"/>
        <v>3566124</v>
      </c>
      <c r="L15" s="27"/>
      <c r="M15" s="70"/>
    </row>
    <row r="16" ht="14.25" customHeight="1">
      <c r="A16" s="47">
        <v>46023.0</v>
      </c>
      <c r="B16" s="5" t="s">
        <v>434</v>
      </c>
      <c r="C16" s="14">
        <v>404000.0</v>
      </c>
      <c r="D16" s="5" t="s">
        <v>463</v>
      </c>
      <c r="E16" s="5" t="s">
        <v>400</v>
      </c>
      <c r="F16" s="72" t="s">
        <v>436</v>
      </c>
      <c r="G16" s="62"/>
      <c r="I16" s="63" t="s">
        <v>464</v>
      </c>
      <c r="J16" s="64">
        <f t="shared" si="1"/>
        <v>0</v>
      </c>
      <c r="L16" s="27"/>
      <c r="M16" s="73"/>
    </row>
    <row r="17" ht="14.25" customHeight="1">
      <c r="A17" s="47">
        <v>46023.0</v>
      </c>
      <c r="B17" s="5" t="s">
        <v>434</v>
      </c>
      <c r="C17" s="14">
        <v>404000.0</v>
      </c>
      <c r="D17" s="5" t="s">
        <v>463</v>
      </c>
      <c r="E17" s="5" t="s">
        <v>400</v>
      </c>
      <c r="F17" s="5" t="s">
        <v>97</v>
      </c>
      <c r="G17" s="62"/>
      <c r="J17" s="64"/>
      <c r="L17" s="27"/>
      <c r="M17" s="70"/>
    </row>
    <row r="18" ht="14.25" customHeight="1">
      <c r="A18" s="47">
        <v>46023.0</v>
      </c>
      <c r="B18" s="5" t="s">
        <v>434</v>
      </c>
      <c r="C18" s="14">
        <v>404000.0</v>
      </c>
      <c r="D18" s="5" t="s">
        <v>463</v>
      </c>
      <c r="E18" s="5" t="s">
        <v>400</v>
      </c>
      <c r="F18" s="5" t="s">
        <v>440</v>
      </c>
      <c r="G18" s="62"/>
      <c r="J18" s="64"/>
      <c r="L18" s="27"/>
      <c r="M18" s="70"/>
    </row>
    <row r="19" ht="14.25" customHeight="1">
      <c r="A19" s="47">
        <v>46024.0</v>
      </c>
      <c r="B19" s="5" t="s">
        <v>451</v>
      </c>
      <c r="C19" s="14">
        <v>59682.0</v>
      </c>
      <c r="D19" s="5" t="s">
        <v>465</v>
      </c>
      <c r="E19" s="5" t="s">
        <v>400</v>
      </c>
      <c r="F19" s="5" t="s">
        <v>97</v>
      </c>
      <c r="G19" s="62"/>
      <c r="J19" s="64"/>
    </row>
    <row r="20" ht="14.25" customHeight="1">
      <c r="A20" s="47">
        <v>46024.0</v>
      </c>
      <c r="B20" s="5" t="s">
        <v>451</v>
      </c>
      <c r="C20" s="14">
        <v>59682.0</v>
      </c>
      <c r="D20" s="5" t="s">
        <v>465</v>
      </c>
      <c r="E20" s="5" t="s">
        <v>400</v>
      </c>
      <c r="F20" s="5" t="s">
        <v>436</v>
      </c>
      <c r="G20" s="62"/>
      <c r="J20" s="64"/>
    </row>
    <row r="21" ht="14.25" customHeight="1">
      <c r="A21" s="47">
        <v>46024.0</v>
      </c>
      <c r="B21" s="5" t="s">
        <v>451</v>
      </c>
      <c r="C21" s="14">
        <v>59682.0</v>
      </c>
      <c r="D21" s="5" t="s">
        <v>465</v>
      </c>
      <c r="E21" s="5" t="s">
        <v>400</v>
      </c>
      <c r="F21" s="5" t="s">
        <v>440</v>
      </c>
      <c r="G21" s="62"/>
      <c r="J21" s="64"/>
    </row>
    <row r="22" ht="14.25" customHeight="1">
      <c r="A22" s="47">
        <v>46032.0</v>
      </c>
      <c r="B22" s="5" t="s">
        <v>444</v>
      </c>
      <c r="C22" s="14">
        <v>287000.0</v>
      </c>
      <c r="D22" s="5" t="s">
        <v>466</v>
      </c>
      <c r="E22" s="5" t="s">
        <v>400</v>
      </c>
      <c r="F22" s="5" t="s">
        <v>97</v>
      </c>
      <c r="G22" s="62"/>
      <c r="J22" s="64"/>
    </row>
    <row r="23" ht="14.25" customHeight="1">
      <c r="A23" s="47">
        <v>46032.0</v>
      </c>
      <c r="B23" s="5" t="s">
        <v>444</v>
      </c>
      <c r="C23" s="14">
        <v>287000.0</v>
      </c>
      <c r="D23" s="5" t="s">
        <v>466</v>
      </c>
      <c r="E23" s="5" t="s">
        <v>400</v>
      </c>
      <c r="F23" s="5" t="s">
        <v>436</v>
      </c>
      <c r="G23" s="62"/>
      <c r="J23" s="64"/>
    </row>
    <row r="24" ht="14.25" customHeight="1">
      <c r="A24" s="47">
        <v>46032.0</v>
      </c>
      <c r="B24" s="5" t="s">
        <v>444</v>
      </c>
      <c r="C24" s="14">
        <v>287000.0</v>
      </c>
      <c r="D24" s="5" t="s">
        <v>466</v>
      </c>
      <c r="E24" s="5" t="s">
        <v>400</v>
      </c>
      <c r="F24" s="5" t="s">
        <v>440</v>
      </c>
      <c r="G24" s="62"/>
      <c r="J24" s="64"/>
    </row>
    <row r="25" ht="14.25" customHeight="1">
      <c r="A25" s="47">
        <v>46037.0</v>
      </c>
      <c r="B25" s="5" t="s">
        <v>444</v>
      </c>
      <c r="C25" s="14">
        <v>30000.0</v>
      </c>
      <c r="D25" s="5" t="s">
        <v>467</v>
      </c>
      <c r="E25" s="5" t="s">
        <v>400</v>
      </c>
      <c r="F25" s="5" t="s">
        <v>440</v>
      </c>
      <c r="G25" s="62"/>
      <c r="J25" s="64"/>
    </row>
    <row r="26" ht="14.25" customHeight="1">
      <c r="A26" s="47">
        <v>46037.0</v>
      </c>
      <c r="B26" s="5" t="s">
        <v>444</v>
      </c>
      <c r="C26" s="14">
        <v>30000.0</v>
      </c>
      <c r="D26" s="5" t="s">
        <v>467</v>
      </c>
      <c r="E26" s="5" t="s">
        <v>400</v>
      </c>
      <c r="F26" s="5" t="s">
        <v>97</v>
      </c>
      <c r="G26" s="62"/>
      <c r="J26" s="64"/>
    </row>
    <row r="27" ht="14.25" customHeight="1">
      <c r="A27" s="47">
        <v>46037.0</v>
      </c>
      <c r="B27" s="5" t="s">
        <v>444</v>
      </c>
      <c r="C27" s="14">
        <v>30000.0</v>
      </c>
      <c r="D27" s="5" t="s">
        <v>467</v>
      </c>
      <c r="E27" s="5" t="s">
        <v>400</v>
      </c>
      <c r="F27" s="5" t="s">
        <v>436</v>
      </c>
      <c r="G27" s="62"/>
      <c r="J27" s="64"/>
    </row>
    <row r="28" ht="14.25" customHeight="1">
      <c r="A28" s="47">
        <v>45674.0</v>
      </c>
      <c r="B28" s="5" t="s">
        <v>444</v>
      </c>
      <c r="C28" s="14">
        <v>220000.0</v>
      </c>
      <c r="D28" s="5" t="s">
        <v>445</v>
      </c>
      <c r="E28" s="5" t="s">
        <v>400</v>
      </c>
      <c r="F28" s="5" t="s">
        <v>440</v>
      </c>
      <c r="G28" s="62"/>
      <c r="J28" s="64"/>
    </row>
    <row r="29" ht="14.25" customHeight="1">
      <c r="A29" s="47">
        <v>45674.0</v>
      </c>
      <c r="B29" s="5" t="s">
        <v>444</v>
      </c>
      <c r="C29" s="14">
        <v>720000.0</v>
      </c>
      <c r="D29" s="5" t="s">
        <v>445</v>
      </c>
      <c r="E29" s="5" t="s">
        <v>400</v>
      </c>
      <c r="F29" s="5" t="s">
        <v>436</v>
      </c>
      <c r="G29" s="62"/>
      <c r="J29" s="64"/>
    </row>
    <row r="30" ht="14.25" customHeight="1">
      <c r="A30" s="47">
        <v>45674.0</v>
      </c>
      <c r="B30" s="5" t="s">
        <v>444</v>
      </c>
      <c r="C30" s="14">
        <v>60000.0</v>
      </c>
      <c r="D30" s="5" t="s">
        <v>445</v>
      </c>
      <c r="E30" s="5" t="s">
        <v>400</v>
      </c>
      <c r="F30" s="5" t="s">
        <v>97</v>
      </c>
      <c r="G30" s="62"/>
      <c r="J30" s="64"/>
    </row>
    <row r="31" ht="14.25" customHeight="1">
      <c r="A31" s="47">
        <v>46043.0</v>
      </c>
      <c r="B31" s="5" t="s">
        <v>444</v>
      </c>
      <c r="C31" s="14">
        <v>6700.0</v>
      </c>
      <c r="D31" s="5" t="s">
        <v>468</v>
      </c>
      <c r="E31" s="5" t="s">
        <v>400</v>
      </c>
      <c r="F31" s="5" t="s">
        <v>440</v>
      </c>
      <c r="G31" s="62"/>
      <c r="J31" s="64"/>
    </row>
    <row r="32" ht="14.25" customHeight="1">
      <c r="A32" s="47">
        <v>46043.0</v>
      </c>
      <c r="B32" s="5" t="s">
        <v>444</v>
      </c>
      <c r="C32" s="14">
        <v>6700.0</v>
      </c>
      <c r="D32" s="5" t="s">
        <v>468</v>
      </c>
      <c r="E32" s="5" t="s">
        <v>400</v>
      </c>
      <c r="F32" s="5" t="s">
        <v>436</v>
      </c>
      <c r="G32" s="62"/>
      <c r="J32" s="64"/>
    </row>
    <row r="33" ht="14.25" customHeight="1">
      <c r="A33" s="47">
        <v>46043.0</v>
      </c>
      <c r="B33" s="5" t="s">
        <v>444</v>
      </c>
      <c r="C33" s="14">
        <v>6700.0</v>
      </c>
      <c r="D33" s="5" t="s">
        <v>468</v>
      </c>
      <c r="E33" s="5" t="s">
        <v>400</v>
      </c>
      <c r="F33" s="5" t="s">
        <v>97</v>
      </c>
      <c r="G33" s="62"/>
      <c r="J33" s="64"/>
    </row>
    <row r="34" ht="14.25" customHeight="1">
      <c r="A34" s="44">
        <v>46052.0</v>
      </c>
      <c r="B34" s="12" t="s">
        <v>461</v>
      </c>
      <c r="C34" s="45">
        <v>140000.0</v>
      </c>
      <c r="D34" s="12" t="s">
        <v>469</v>
      </c>
      <c r="E34" s="12" t="s">
        <v>400</v>
      </c>
      <c r="F34" s="12" t="s">
        <v>97</v>
      </c>
      <c r="G34" s="62"/>
      <c r="J34" s="64"/>
    </row>
    <row r="35" ht="14.25" customHeight="1">
      <c r="A35" s="44">
        <v>46052.0</v>
      </c>
      <c r="B35" s="12" t="s">
        <v>461</v>
      </c>
      <c r="C35" s="45">
        <v>140000.0</v>
      </c>
      <c r="D35" s="12" t="s">
        <v>469</v>
      </c>
      <c r="E35" s="12" t="s">
        <v>400</v>
      </c>
      <c r="F35" s="12" t="s">
        <v>436</v>
      </c>
      <c r="G35" s="62"/>
      <c r="J35" s="64"/>
    </row>
    <row r="36" ht="14.25" customHeight="1">
      <c r="A36" s="44">
        <v>46052.0</v>
      </c>
      <c r="B36" s="12" t="s">
        <v>461</v>
      </c>
      <c r="C36" s="45">
        <v>140000.0</v>
      </c>
      <c r="D36" s="12" t="s">
        <v>469</v>
      </c>
      <c r="E36" s="12" t="s">
        <v>400</v>
      </c>
      <c r="F36" s="12" t="s">
        <v>440</v>
      </c>
      <c r="G36" s="62"/>
      <c r="J36" s="64"/>
    </row>
    <row r="37" ht="14.25" customHeight="1">
      <c r="A37" s="47">
        <v>46056.0</v>
      </c>
      <c r="B37" s="5" t="s">
        <v>434</v>
      </c>
      <c r="C37" s="14">
        <v>404000.0</v>
      </c>
      <c r="D37" s="5" t="s">
        <v>470</v>
      </c>
      <c r="E37" s="12" t="s">
        <v>400</v>
      </c>
      <c r="F37" s="5" t="s">
        <v>97</v>
      </c>
      <c r="G37" s="62"/>
      <c r="J37" s="64"/>
    </row>
    <row r="38" ht="14.25" customHeight="1">
      <c r="A38" s="47">
        <v>46056.0</v>
      </c>
      <c r="B38" s="5" t="s">
        <v>434</v>
      </c>
      <c r="C38" s="14">
        <v>404000.0</v>
      </c>
      <c r="D38" s="5" t="s">
        <v>470</v>
      </c>
      <c r="E38" s="12" t="s">
        <v>400</v>
      </c>
      <c r="F38" s="5" t="s">
        <v>436</v>
      </c>
      <c r="G38" s="62"/>
      <c r="J38" s="64"/>
    </row>
    <row r="39" ht="14.25" customHeight="1">
      <c r="A39" s="47">
        <v>46056.0</v>
      </c>
      <c r="B39" s="5" t="s">
        <v>434</v>
      </c>
      <c r="C39" s="14">
        <v>404000.0</v>
      </c>
      <c r="D39" s="5" t="s">
        <v>470</v>
      </c>
      <c r="E39" s="12" t="s">
        <v>400</v>
      </c>
      <c r="F39" s="5" t="s">
        <v>440</v>
      </c>
      <c r="G39" s="62"/>
      <c r="J39" s="64"/>
    </row>
    <row r="40" ht="14.25" customHeight="1">
      <c r="A40" s="44">
        <v>46059.0</v>
      </c>
      <c r="B40" s="12" t="s">
        <v>444</v>
      </c>
      <c r="C40" s="45">
        <v>400000.0</v>
      </c>
      <c r="D40" s="5" t="s">
        <v>445</v>
      </c>
      <c r="E40" s="12" t="s">
        <v>400</v>
      </c>
      <c r="F40" s="46" t="s">
        <v>97</v>
      </c>
      <c r="G40" s="62"/>
      <c r="J40" s="64"/>
    </row>
    <row r="41" ht="14.25" customHeight="1">
      <c r="A41" s="44">
        <v>46062.0</v>
      </c>
      <c r="B41" s="74" t="s">
        <v>462</v>
      </c>
      <c r="C41" s="14">
        <f>2670000/3</f>
        <v>890000</v>
      </c>
      <c r="D41" s="46" t="s">
        <v>471</v>
      </c>
      <c r="E41" s="12" t="s">
        <v>405</v>
      </c>
      <c r="F41" s="75" t="s">
        <v>440</v>
      </c>
      <c r="G41" s="46" t="s">
        <v>472</v>
      </c>
      <c r="J41" s="64"/>
    </row>
    <row r="42" ht="14.25" customHeight="1">
      <c r="A42" s="44">
        <v>46062.0</v>
      </c>
      <c r="B42" s="12" t="s">
        <v>462</v>
      </c>
      <c r="C42" s="14">
        <f t="shared" ref="C42:C43" si="4">C41</f>
        <v>890000</v>
      </c>
      <c r="D42" s="46" t="s">
        <v>471</v>
      </c>
      <c r="E42" s="12" t="s">
        <v>405</v>
      </c>
      <c r="F42" s="75" t="s">
        <v>436</v>
      </c>
      <c r="G42" s="46" t="s">
        <v>472</v>
      </c>
      <c r="J42" s="64"/>
    </row>
    <row r="43" ht="14.25" customHeight="1">
      <c r="A43" s="44">
        <v>46062.0</v>
      </c>
      <c r="B43" s="12" t="s">
        <v>462</v>
      </c>
      <c r="C43" s="14">
        <f t="shared" si="4"/>
        <v>890000</v>
      </c>
      <c r="D43" s="46" t="s">
        <v>471</v>
      </c>
      <c r="E43" s="12" t="s">
        <v>405</v>
      </c>
      <c r="F43" s="67" t="s">
        <v>97</v>
      </c>
      <c r="J43" s="64"/>
    </row>
    <row r="44" ht="14.25" customHeight="1">
      <c r="A44" s="44">
        <v>46057.0</v>
      </c>
      <c r="B44" s="12" t="s">
        <v>462</v>
      </c>
      <c r="C44" s="45">
        <v>80000.0</v>
      </c>
      <c r="D44" s="46" t="s">
        <v>471</v>
      </c>
      <c r="E44" s="12" t="s">
        <v>400</v>
      </c>
      <c r="F44" s="5" t="s">
        <v>436</v>
      </c>
      <c r="J44" s="64"/>
    </row>
    <row r="45" ht="14.25" customHeight="1">
      <c r="A45" s="44">
        <v>46057.0</v>
      </c>
      <c r="B45" s="12" t="s">
        <v>462</v>
      </c>
      <c r="C45" s="45">
        <v>80000.0</v>
      </c>
      <c r="D45" s="46" t="s">
        <v>471</v>
      </c>
      <c r="E45" s="12" t="s">
        <v>400</v>
      </c>
      <c r="F45" s="5" t="s">
        <v>440</v>
      </c>
      <c r="J45" s="64"/>
    </row>
    <row r="46" ht="14.25" customHeight="1">
      <c r="A46" s="44">
        <v>46057.0</v>
      </c>
      <c r="B46" s="12" t="s">
        <v>462</v>
      </c>
      <c r="C46" s="45">
        <v>80000.0</v>
      </c>
      <c r="D46" s="46" t="s">
        <v>471</v>
      </c>
      <c r="E46" s="12" t="s">
        <v>400</v>
      </c>
      <c r="F46" s="46" t="s">
        <v>97</v>
      </c>
      <c r="J46" s="64"/>
    </row>
    <row r="47" ht="14.25" customHeight="1">
      <c r="A47" s="44">
        <v>46062.0</v>
      </c>
      <c r="B47" s="12" t="s">
        <v>457</v>
      </c>
      <c r="C47" s="45">
        <v>20000.0</v>
      </c>
      <c r="D47" s="46" t="s">
        <v>473</v>
      </c>
      <c r="E47" s="12" t="s">
        <v>400</v>
      </c>
      <c r="F47" s="46" t="s">
        <v>436</v>
      </c>
      <c r="J47" s="64"/>
    </row>
    <row r="48" ht="14.25" customHeight="1">
      <c r="A48" s="44">
        <v>46063.0</v>
      </c>
      <c r="B48" s="12" t="s">
        <v>451</v>
      </c>
      <c r="C48" s="45">
        <v>36700.0</v>
      </c>
      <c r="D48" s="76" t="s">
        <v>474</v>
      </c>
      <c r="E48" s="12" t="s">
        <v>400</v>
      </c>
      <c r="F48" s="46" t="s">
        <v>97</v>
      </c>
      <c r="J48" s="64"/>
    </row>
    <row r="49" ht="14.25" customHeight="1">
      <c r="A49" s="44">
        <v>46064.0</v>
      </c>
      <c r="B49" s="12" t="s">
        <v>451</v>
      </c>
      <c r="C49" s="45">
        <v>9000.0</v>
      </c>
      <c r="D49" s="76" t="s">
        <v>475</v>
      </c>
      <c r="E49" s="12" t="s">
        <v>400</v>
      </c>
      <c r="F49" s="46" t="s">
        <v>436</v>
      </c>
      <c r="J49" s="64"/>
    </row>
    <row r="50" ht="14.25" customHeight="1">
      <c r="A50" s="44">
        <v>46067.0</v>
      </c>
      <c r="B50" s="12" t="s">
        <v>457</v>
      </c>
      <c r="C50" s="45">
        <v>19100.0</v>
      </c>
      <c r="D50" s="46" t="s">
        <v>476</v>
      </c>
      <c r="E50" s="12" t="s">
        <v>400</v>
      </c>
      <c r="F50" s="46" t="s">
        <v>97</v>
      </c>
      <c r="J50" s="64"/>
    </row>
    <row r="51" ht="14.25" customHeight="1">
      <c r="A51" s="44">
        <v>45693.0</v>
      </c>
      <c r="B51" s="12" t="s">
        <v>462</v>
      </c>
      <c r="C51" s="45">
        <v>218708.0</v>
      </c>
      <c r="D51" s="46" t="s">
        <v>477</v>
      </c>
      <c r="E51" s="12" t="s">
        <v>400</v>
      </c>
      <c r="F51" s="46" t="s">
        <v>436</v>
      </c>
      <c r="J51" s="64"/>
    </row>
    <row r="52" ht="14.25" customHeight="1">
      <c r="A52" s="44">
        <v>45693.0</v>
      </c>
      <c r="B52" s="12" t="s">
        <v>462</v>
      </c>
      <c r="C52" s="45">
        <v>218708.0</v>
      </c>
      <c r="D52" s="46" t="s">
        <v>477</v>
      </c>
      <c r="E52" s="12" t="s">
        <v>400</v>
      </c>
      <c r="F52" s="46" t="s">
        <v>97</v>
      </c>
      <c r="J52" s="64"/>
    </row>
    <row r="53" ht="14.25" customHeight="1">
      <c r="A53" s="44">
        <v>45693.0</v>
      </c>
      <c r="B53" s="12" t="s">
        <v>462</v>
      </c>
      <c r="C53" s="45">
        <v>218708.0</v>
      </c>
      <c r="D53" s="46" t="s">
        <v>477</v>
      </c>
      <c r="E53" s="12" t="s">
        <v>400</v>
      </c>
      <c r="F53" s="46" t="s">
        <v>440</v>
      </c>
      <c r="J53" s="64"/>
    </row>
    <row r="54" ht="14.25" customHeight="1">
      <c r="A54" s="44">
        <v>46067.0</v>
      </c>
      <c r="B54" s="12" t="s">
        <v>455</v>
      </c>
      <c r="C54" s="45">
        <v>77000.0</v>
      </c>
      <c r="D54" s="46" t="s">
        <v>478</v>
      </c>
      <c r="E54" s="12" t="s">
        <v>400</v>
      </c>
      <c r="F54" s="46" t="s">
        <v>97</v>
      </c>
      <c r="J54" s="64"/>
    </row>
    <row r="55" ht="14.25" customHeight="1">
      <c r="A55" s="44">
        <v>46067.0</v>
      </c>
      <c r="B55" s="12" t="s">
        <v>457</v>
      </c>
      <c r="C55" s="45">
        <v>28000.0</v>
      </c>
      <c r="D55" s="46" t="s">
        <v>479</v>
      </c>
      <c r="E55" s="12" t="s">
        <v>400</v>
      </c>
      <c r="F55" s="46" t="s">
        <v>436</v>
      </c>
      <c r="J55" s="64"/>
    </row>
    <row r="56" ht="14.25" customHeight="1">
      <c r="A56" s="44">
        <v>46067.0</v>
      </c>
      <c r="B56" s="12" t="s">
        <v>455</v>
      </c>
      <c r="C56" s="45">
        <v>80000.0</v>
      </c>
      <c r="D56" s="46" t="s">
        <v>480</v>
      </c>
      <c r="E56" s="12" t="s">
        <v>400</v>
      </c>
      <c r="F56" s="46" t="s">
        <v>436</v>
      </c>
      <c r="J56" s="64"/>
    </row>
    <row r="57" ht="14.25" customHeight="1">
      <c r="A57" s="47"/>
      <c r="B57" s="5"/>
      <c r="C57" s="14"/>
      <c r="E57" s="5"/>
      <c r="J57" s="64"/>
    </row>
    <row r="58" ht="14.25" customHeight="1">
      <c r="A58" s="47"/>
      <c r="B58" s="5"/>
      <c r="C58" s="14"/>
      <c r="E58" s="5"/>
      <c r="J58" s="64"/>
    </row>
    <row r="59" ht="14.25" customHeight="1">
      <c r="A59" s="47"/>
      <c r="B59" s="5"/>
      <c r="C59" s="14"/>
      <c r="E59" s="5"/>
      <c r="J59" s="64"/>
    </row>
    <row r="60" ht="14.25" customHeight="1">
      <c r="A60" s="47"/>
      <c r="B60" s="5"/>
      <c r="C60" s="14"/>
      <c r="E60" s="5"/>
      <c r="J60" s="64"/>
    </row>
    <row r="61" ht="14.25" customHeight="1">
      <c r="A61" s="47"/>
      <c r="B61" s="5"/>
      <c r="C61" s="14"/>
      <c r="E61" s="5"/>
      <c r="J61" s="64"/>
    </row>
    <row r="62" ht="14.25" customHeight="1">
      <c r="A62" s="47"/>
      <c r="B62" s="5"/>
      <c r="C62" s="14"/>
      <c r="E62" s="5"/>
      <c r="J62" s="64"/>
    </row>
    <row r="63" ht="14.25" customHeight="1">
      <c r="A63" s="47"/>
      <c r="B63" s="5"/>
      <c r="C63" s="14"/>
      <c r="E63" s="5"/>
      <c r="J63" s="64"/>
    </row>
    <row r="64" ht="14.25" customHeight="1">
      <c r="A64" s="47"/>
      <c r="B64" s="5"/>
      <c r="C64" s="14"/>
      <c r="E64" s="5"/>
      <c r="J64" s="64"/>
    </row>
    <row r="65" ht="14.25" customHeight="1">
      <c r="A65" s="47"/>
      <c r="B65" s="5"/>
      <c r="C65" s="14"/>
      <c r="E65" s="5"/>
      <c r="J65" s="64"/>
    </row>
    <row r="66" ht="14.25" customHeight="1">
      <c r="A66" s="47"/>
      <c r="B66" s="5"/>
      <c r="C66" s="14"/>
      <c r="E66" s="5"/>
      <c r="J66" s="64"/>
    </row>
    <row r="67" ht="14.25" customHeight="1">
      <c r="A67" s="47"/>
      <c r="B67" s="5"/>
      <c r="C67" s="14"/>
      <c r="E67" s="5"/>
      <c r="J67" s="64"/>
    </row>
    <row r="68" ht="14.25" customHeight="1">
      <c r="A68" s="47"/>
      <c r="B68" s="5"/>
      <c r="C68" s="14"/>
      <c r="E68" s="5"/>
      <c r="J68" s="64"/>
    </row>
    <row r="69" ht="14.25" customHeight="1">
      <c r="A69" s="47"/>
      <c r="B69" s="5"/>
      <c r="C69" s="14"/>
      <c r="E69" s="5"/>
      <c r="J69" s="64"/>
    </row>
    <row r="70" ht="14.25" customHeight="1">
      <c r="A70" s="47"/>
      <c r="B70" s="5"/>
      <c r="C70" s="14"/>
      <c r="E70" s="5"/>
      <c r="J70" s="64"/>
    </row>
    <row r="71" ht="14.25" customHeight="1">
      <c r="A71" s="47"/>
      <c r="B71" s="5"/>
      <c r="C71" s="14"/>
      <c r="E71" s="5"/>
      <c r="J71" s="64"/>
    </row>
    <row r="72" ht="14.25" customHeight="1">
      <c r="A72" s="47"/>
      <c r="B72" s="5"/>
      <c r="C72" s="14"/>
      <c r="E72" s="5"/>
      <c r="J72" s="64"/>
    </row>
    <row r="73" ht="14.25" customHeight="1">
      <c r="A73" s="47"/>
      <c r="B73" s="5"/>
      <c r="C73" s="14"/>
      <c r="E73" s="5"/>
      <c r="J73" s="64"/>
    </row>
    <row r="74" ht="14.25" customHeight="1">
      <c r="A74" s="47"/>
      <c r="B74" s="5"/>
      <c r="C74" s="14"/>
      <c r="E74" s="5"/>
      <c r="J74" s="64"/>
    </row>
    <row r="75" ht="14.25" customHeight="1">
      <c r="A75" s="47"/>
      <c r="B75" s="5"/>
      <c r="C75" s="14"/>
      <c r="E75" s="5"/>
      <c r="J75" s="64"/>
    </row>
    <row r="76" ht="14.25" customHeight="1">
      <c r="A76" s="47"/>
      <c r="B76" s="5"/>
      <c r="C76" s="14"/>
      <c r="E76" s="5"/>
      <c r="J76" s="64"/>
    </row>
    <row r="77" ht="14.25" customHeight="1">
      <c r="A77" s="47"/>
      <c r="B77" s="5"/>
      <c r="C77" s="14"/>
      <c r="E77" s="5"/>
      <c r="J77" s="64"/>
    </row>
    <row r="78" ht="14.25" customHeight="1">
      <c r="A78" s="47"/>
      <c r="B78" s="5"/>
      <c r="C78" s="14"/>
      <c r="E78" s="5"/>
      <c r="J78" s="64"/>
    </row>
    <row r="79" ht="14.25" customHeight="1">
      <c r="A79" s="47"/>
      <c r="B79" s="5"/>
      <c r="C79" s="14"/>
      <c r="E79" s="5"/>
      <c r="J79" s="64"/>
    </row>
    <row r="80" ht="14.25" customHeight="1">
      <c r="A80" s="47"/>
      <c r="B80" s="5"/>
      <c r="C80" s="14"/>
      <c r="E80" s="5"/>
      <c r="J80" s="64"/>
    </row>
    <row r="81" ht="14.25" customHeight="1">
      <c r="A81" s="47"/>
      <c r="B81" s="5"/>
      <c r="C81" s="14"/>
      <c r="E81" s="5"/>
      <c r="J81" s="64"/>
    </row>
    <row r="82" ht="14.25" customHeight="1">
      <c r="A82" s="47"/>
      <c r="B82" s="5"/>
      <c r="C82" s="14"/>
      <c r="E82" s="5"/>
      <c r="J82" s="64"/>
    </row>
    <row r="83" ht="14.25" customHeight="1">
      <c r="A83" s="47"/>
      <c r="B83" s="5"/>
      <c r="C83" s="14"/>
      <c r="E83" s="5"/>
      <c r="J83" s="64"/>
    </row>
    <row r="84" ht="14.25" customHeight="1">
      <c r="A84" s="47"/>
      <c r="B84" s="5"/>
      <c r="C84" s="14"/>
      <c r="E84" s="5"/>
      <c r="J84" s="64"/>
    </row>
    <row r="85" ht="14.25" customHeight="1">
      <c r="A85" s="47"/>
      <c r="B85" s="5"/>
      <c r="C85" s="14"/>
      <c r="E85" s="5"/>
      <c r="J85" s="64"/>
    </row>
    <row r="86" ht="14.25" customHeight="1">
      <c r="A86" s="47"/>
      <c r="B86" s="5"/>
      <c r="C86" s="14"/>
      <c r="E86" s="5"/>
      <c r="J86" s="64"/>
    </row>
    <row r="87" ht="14.25" customHeight="1">
      <c r="A87" s="47"/>
      <c r="B87" s="5"/>
      <c r="C87" s="14"/>
      <c r="E87" s="5"/>
      <c r="J87" s="64"/>
    </row>
    <row r="88" ht="14.25" customHeight="1">
      <c r="A88" s="47"/>
      <c r="B88" s="5"/>
      <c r="C88" s="14"/>
      <c r="E88" s="5"/>
      <c r="J88" s="64"/>
    </row>
    <row r="89" ht="14.25" customHeight="1">
      <c r="A89" s="47"/>
      <c r="B89" s="5"/>
      <c r="C89" s="14"/>
      <c r="E89" s="5"/>
      <c r="J89" s="64"/>
    </row>
    <row r="90" ht="14.25" customHeight="1">
      <c r="A90" s="47"/>
      <c r="B90" s="5"/>
      <c r="C90" s="14"/>
      <c r="E90" s="5"/>
      <c r="J90" s="64"/>
    </row>
    <row r="91" ht="14.25" customHeight="1">
      <c r="A91" s="47"/>
      <c r="B91" s="5"/>
      <c r="C91" s="14"/>
      <c r="E91" s="5"/>
      <c r="J91" s="64"/>
    </row>
    <row r="92" ht="14.25" customHeight="1">
      <c r="A92" s="47"/>
      <c r="B92" s="5"/>
      <c r="C92" s="14"/>
      <c r="E92" s="5"/>
      <c r="J92" s="64"/>
    </row>
    <row r="93" ht="14.25" customHeight="1">
      <c r="A93" s="47"/>
      <c r="B93" s="5"/>
      <c r="C93" s="14"/>
      <c r="E93" s="5"/>
      <c r="J93" s="64"/>
    </row>
    <row r="94" ht="14.25" customHeight="1">
      <c r="A94" s="47"/>
      <c r="B94" s="5"/>
      <c r="C94" s="14"/>
      <c r="E94" s="5"/>
      <c r="J94" s="64"/>
    </row>
    <row r="95" ht="14.25" customHeight="1">
      <c r="A95" s="47"/>
      <c r="B95" s="5"/>
      <c r="C95" s="14"/>
      <c r="E95" s="5"/>
      <c r="J95" s="64"/>
    </row>
    <row r="96" ht="14.25" customHeight="1">
      <c r="A96" s="47"/>
      <c r="B96" s="5"/>
      <c r="C96" s="14"/>
      <c r="E96" s="5"/>
      <c r="J96" s="64"/>
    </row>
    <row r="97" ht="14.25" customHeight="1">
      <c r="A97" s="47"/>
      <c r="B97" s="5"/>
      <c r="C97" s="14"/>
      <c r="E97" s="5"/>
      <c r="J97" s="64"/>
    </row>
    <row r="98" ht="14.25" customHeight="1">
      <c r="A98" s="47"/>
      <c r="B98" s="5"/>
      <c r="C98" s="14"/>
      <c r="E98" s="5"/>
      <c r="J98" s="64"/>
    </row>
    <row r="99" ht="14.25" customHeight="1">
      <c r="A99" s="47"/>
      <c r="B99" s="5"/>
      <c r="C99" s="14"/>
      <c r="E99" s="5"/>
      <c r="J99" s="64"/>
    </row>
    <row r="100" ht="14.25" customHeight="1">
      <c r="A100" s="47"/>
      <c r="B100" s="5"/>
      <c r="C100" s="14"/>
      <c r="E100" s="5"/>
      <c r="J100" s="64"/>
    </row>
    <row r="101" ht="14.25" customHeight="1">
      <c r="A101" s="47"/>
      <c r="B101" s="5"/>
      <c r="C101" s="14"/>
      <c r="E101" s="5"/>
      <c r="J101" s="64"/>
    </row>
    <row r="102" ht="14.25" customHeight="1">
      <c r="A102" s="47"/>
      <c r="B102" s="5"/>
      <c r="C102" s="14"/>
      <c r="E102" s="5"/>
      <c r="J102" s="64"/>
    </row>
    <row r="103" ht="14.25" customHeight="1">
      <c r="A103" s="47"/>
      <c r="B103" s="5"/>
      <c r="C103" s="14"/>
      <c r="E103" s="5"/>
      <c r="J103" s="64"/>
    </row>
    <row r="104" ht="14.25" customHeight="1">
      <c r="A104" s="47"/>
      <c r="B104" s="5"/>
      <c r="C104" s="14"/>
      <c r="E104" s="5"/>
      <c r="J104" s="64"/>
    </row>
    <row r="105" ht="14.25" customHeight="1">
      <c r="A105" s="47"/>
      <c r="B105" s="5"/>
      <c r="C105" s="14"/>
      <c r="E105" s="5"/>
      <c r="J105" s="64"/>
    </row>
    <row r="106" ht="14.25" customHeight="1">
      <c r="A106" s="47"/>
      <c r="B106" s="5"/>
      <c r="C106" s="14"/>
      <c r="E106" s="5"/>
      <c r="J106" s="64"/>
    </row>
    <row r="107" ht="14.25" customHeight="1">
      <c r="A107" s="47"/>
      <c r="B107" s="5"/>
      <c r="C107" s="14"/>
      <c r="E107" s="5"/>
      <c r="J107" s="64"/>
    </row>
    <row r="108" ht="14.25" customHeight="1">
      <c r="B108" s="5"/>
      <c r="E108" s="5"/>
      <c r="J108" s="64"/>
    </row>
    <row r="109" ht="14.25" customHeight="1">
      <c r="B109" s="5"/>
      <c r="E109" s="5"/>
      <c r="J109" s="64"/>
    </row>
    <row r="110" ht="14.25" customHeight="1">
      <c r="J110" s="64"/>
    </row>
    <row r="111" ht="14.25" customHeight="1">
      <c r="A111" s="49" t="s">
        <v>481</v>
      </c>
      <c r="J111" s="64"/>
    </row>
    <row r="112" ht="14.25" customHeight="1">
      <c r="A112" s="5" t="s">
        <v>482</v>
      </c>
      <c r="B112" s="14">
        <f>SUM(C2:C106)</f>
        <v>17447070</v>
      </c>
      <c r="J112" s="64"/>
    </row>
    <row r="113" ht="14.25" customHeight="1">
      <c r="J113" s="64"/>
    </row>
    <row r="114" ht="14.25" customHeight="1">
      <c r="J114" s="64"/>
    </row>
    <row r="115" ht="14.25" customHeight="1">
      <c r="J115" s="64"/>
    </row>
    <row r="116" ht="14.25" customHeight="1">
      <c r="J116" s="64"/>
    </row>
    <row r="117" ht="14.25" customHeight="1">
      <c r="J117" s="64"/>
    </row>
    <row r="118" ht="14.25" customHeight="1">
      <c r="J118" s="64"/>
    </row>
    <row r="119" ht="14.25" customHeight="1">
      <c r="J119" s="64"/>
    </row>
    <row r="120" ht="14.25" customHeight="1">
      <c r="J120" s="64"/>
    </row>
    <row r="121" ht="14.25" customHeight="1">
      <c r="J121" s="64"/>
    </row>
    <row r="122" ht="14.25" customHeight="1">
      <c r="J122" s="64"/>
    </row>
    <row r="123" ht="14.25" customHeight="1">
      <c r="J123" s="64"/>
    </row>
    <row r="124" ht="14.25" customHeight="1">
      <c r="J124" s="64"/>
    </row>
    <row r="125" ht="14.25" customHeight="1">
      <c r="J125" s="64"/>
    </row>
    <row r="126" ht="14.25" customHeight="1">
      <c r="J126" s="64"/>
    </row>
    <row r="127" ht="14.25" customHeight="1">
      <c r="J127" s="64"/>
    </row>
    <row r="128" ht="14.25" customHeight="1">
      <c r="J128" s="64"/>
    </row>
    <row r="129" ht="14.25" customHeight="1">
      <c r="J129" s="64"/>
    </row>
    <row r="130" ht="14.25" customHeight="1">
      <c r="J130" s="64"/>
    </row>
    <row r="131" ht="14.25" customHeight="1">
      <c r="J131" s="64"/>
    </row>
    <row r="132" ht="14.25" customHeight="1">
      <c r="J132" s="64"/>
    </row>
    <row r="133" ht="14.25" customHeight="1">
      <c r="J133" s="64"/>
    </row>
    <row r="134" ht="14.25" customHeight="1">
      <c r="J134" s="64"/>
    </row>
    <row r="135" ht="14.25" customHeight="1">
      <c r="J135" s="64"/>
    </row>
    <row r="136" ht="14.25" customHeight="1">
      <c r="J136" s="64"/>
    </row>
    <row r="137" ht="14.25" customHeight="1">
      <c r="J137" s="64"/>
    </row>
    <row r="138" ht="14.25" customHeight="1">
      <c r="J138" s="64"/>
    </row>
    <row r="139" ht="14.25" customHeight="1">
      <c r="J139" s="64"/>
    </row>
    <row r="140" ht="14.25" customHeight="1">
      <c r="J140" s="64"/>
    </row>
    <row r="141" ht="14.25" customHeight="1">
      <c r="J141" s="64"/>
    </row>
    <row r="142" ht="14.25" customHeight="1">
      <c r="J142" s="64"/>
    </row>
    <row r="143" ht="14.25" customHeight="1">
      <c r="J143" s="64"/>
    </row>
    <row r="144" ht="14.25" customHeight="1">
      <c r="J144" s="64"/>
    </row>
    <row r="145" ht="14.25" customHeight="1">
      <c r="J145" s="64"/>
    </row>
    <row r="146" ht="14.25" customHeight="1">
      <c r="J146" s="64"/>
    </row>
    <row r="147" ht="14.25" customHeight="1">
      <c r="J147" s="64"/>
    </row>
    <row r="148" ht="14.25" customHeight="1">
      <c r="J148" s="64"/>
    </row>
    <row r="149" ht="14.25" customHeight="1">
      <c r="J149" s="64"/>
    </row>
    <row r="150" ht="14.25" customHeight="1">
      <c r="J150" s="64"/>
    </row>
    <row r="151" ht="14.25" customHeight="1">
      <c r="J151" s="64"/>
    </row>
    <row r="152" ht="14.25" customHeight="1">
      <c r="J152" s="64"/>
    </row>
    <row r="153" ht="14.25" customHeight="1">
      <c r="J153" s="64"/>
    </row>
    <row r="154" ht="14.25" customHeight="1">
      <c r="J154" s="64"/>
    </row>
    <row r="155" ht="14.25" customHeight="1">
      <c r="J155" s="64"/>
    </row>
    <row r="156" ht="14.25" customHeight="1">
      <c r="J156" s="64"/>
    </row>
    <row r="157" ht="14.25" customHeight="1">
      <c r="J157" s="64"/>
    </row>
    <row r="158" ht="14.25" customHeight="1">
      <c r="J158" s="64"/>
    </row>
    <row r="159" ht="14.25" customHeight="1">
      <c r="J159" s="64"/>
    </row>
    <row r="160" ht="14.25" customHeight="1">
      <c r="J160" s="64"/>
    </row>
    <row r="161" ht="14.25" customHeight="1">
      <c r="J161" s="64"/>
    </row>
    <row r="162" ht="14.25" customHeight="1">
      <c r="J162" s="64"/>
    </row>
    <row r="163" ht="14.25" customHeight="1">
      <c r="J163" s="64"/>
    </row>
    <row r="164" ht="14.25" customHeight="1">
      <c r="J164" s="64"/>
    </row>
    <row r="165" ht="14.25" customHeight="1">
      <c r="J165" s="64"/>
    </row>
    <row r="166" ht="14.25" customHeight="1">
      <c r="J166" s="64"/>
    </row>
    <row r="167" ht="14.25" customHeight="1">
      <c r="J167" s="64"/>
    </row>
    <row r="168" ht="14.25" customHeight="1">
      <c r="J168" s="64"/>
    </row>
    <row r="169" ht="14.25" customHeight="1">
      <c r="J169" s="64"/>
    </row>
    <row r="170" ht="14.25" customHeight="1">
      <c r="J170" s="64"/>
    </row>
    <row r="171" ht="14.25" customHeight="1">
      <c r="J171" s="64"/>
    </row>
    <row r="172" ht="14.25" customHeight="1">
      <c r="J172" s="64"/>
    </row>
    <row r="173" ht="14.25" customHeight="1">
      <c r="J173" s="64"/>
    </row>
    <row r="174" ht="14.25" customHeight="1">
      <c r="J174" s="64"/>
    </row>
    <row r="175" ht="14.25" customHeight="1">
      <c r="J175" s="64"/>
    </row>
    <row r="176" ht="14.25" customHeight="1">
      <c r="J176" s="64"/>
    </row>
    <row r="177" ht="14.25" customHeight="1">
      <c r="J177" s="64"/>
    </row>
    <row r="178" ht="14.25" customHeight="1">
      <c r="J178" s="64"/>
    </row>
    <row r="179" ht="14.25" customHeight="1">
      <c r="J179" s="64"/>
    </row>
    <row r="180" ht="14.25" customHeight="1">
      <c r="J180" s="64"/>
    </row>
    <row r="181" ht="14.25" customHeight="1">
      <c r="J181" s="64"/>
    </row>
    <row r="182" ht="14.25" customHeight="1">
      <c r="J182" s="64"/>
    </row>
    <row r="183" ht="14.25" customHeight="1">
      <c r="J183" s="64"/>
    </row>
    <row r="184" ht="14.25" customHeight="1">
      <c r="J184" s="64"/>
    </row>
    <row r="185" ht="14.25" customHeight="1">
      <c r="J185" s="64"/>
    </row>
    <row r="186" ht="14.25" customHeight="1">
      <c r="J186" s="64"/>
    </row>
    <row r="187" ht="14.25" customHeight="1">
      <c r="J187" s="64"/>
    </row>
    <row r="188" ht="14.25" customHeight="1">
      <c r="J188" s="64"/>
    </row>
    <row r="189" ht="14.25" customHeight="1">
      <c r="J189" s="64"/>
    </row>
    <row r="190" ht="14.25" customHeight="1">
      <c r="J190" s="64"/>
    </row>
    <row r="191" ht="14.25" customHeight="1">
      <c r="J191" s="64"/>
    </row>
    <row r="192" ht="14.25" customHeight="1">
      <c r="J192" s="64"/>
    </row>
    <row r="193" ht="14.25" customHeight="1">
      <c r="J193" s="64"/>
    </row>
    <row r="194" ht="14.25" customHeight="1">
      <c r="J194" s="64"/>
    </row>
    <row r="195" ht="14.25" customHeight="1">
      <c r="J195" s="64"/>
    </row>
    <row r="196" ht="14.25" customHeight="1">
      <c r="J196" s="64"/>
    </row>
    <row r="197" ht="14.25" customHeight="1">
      <c r="J197" s="64"/>
    </row>
    <row r="198" ht="14.25" customHeight="1">
      <c r="J198" s="64"/>
    </row>
    <row r="199" ht="14.25" customHeight="1">
      <c r="J199" s="64"/>
    </row>
    <row r="200" ht="14.25" customHeight="1">
      <c r="J200" s="64"/>
    </row>
    <row r="201" ht="14.25" customHeight="1">
      <c r="J201" s="64"/>
    </row>
    <row r="202" ht="14.25" customHeight="1">
      <c r="J202" s="64"/>
    </row>
    <row r="203" ht="14.25" customHeight="1">
      <c r="J203" s="64"/>
    </row>
    <row r="204" ht="14.25" customHeight="1">
      <c r="J204" s="64"/>
    </row>
    <row r="205" ht="14.25" customHeight="1">
      <c r="J205" s="64"/>
    </row>
    <row r="206" ht="14.25" customHeight="1">
      <c r="J206" s="64"/>
    </row>
    <row r="207" ht="14.25" customHeight="1">
      <c r="J207" s="64"/>
    </row>
    <row r="208" ht="14.25" customHeight="1">
      <c r="J208" s="64"/>
    </row>
    <row r="209" ht="14.25" customHeight="1">
      <c r="J209" s="64"/>
    </row>
    <row r="210" ht="14.25" customHeight="1">
      <c r="J210" s="64"/>
    </row>
    <row r="211" ht="14.25" customHeight="1">
      <c r="J211" s="64"/>
    </row>
    <row r="212" ht="14.25" customHeight="1">
      <c r="J212" s="64"/>
    </row>
    <row r="213" ht="14.25" customHeight="1">
      <c r="J213" s="64"/>
    </row>
    <row r="214" ht="14.25" customHeight="1">
      <c r="J214" s="64"/>
    </row>
    <row r="215" ht="14.25" customHeight="1">
      <c r="J215" s="64"/>
    </row>
    <row r="216" ht="14.25" customHeight="1">
      <c r="J216" s="64"/>
    </row>
    <row r="217" ht="14.25" customHeight="1">
      <c r="J217" s="64"/>
    </row>
    <row r="218" ht="14.25" customHeight="1">
      <c r="J218" s="64"/>
    </row>
    <row r="219" ht="14.25" customHeight="1">
      <c r="J219" s="64"/>
    </row>
    <row r="220" ht="14.25" customHeight="1">
      <c r="J220" s="64"/>
    </row>
    <row r="221" ht="14.25" customHeight="1">
      <c r="J221" s="64"/>
    </row>
    <row r="222" ht="14.25" customHeight="1">
      <c r="J222" s="64"/>
    </row>
    <row r="223" ht="14.25" customHeight="1">
      <c r="J223" s="64"/>
    </row>
    <row r="224" ht="14.25" customHeight="1">
      <c r="J224" s="64"/>
    </row>
    <row r="225" ht="14.25" customHeight="1">
      <c r="J225" s="64"/>
    </row>
    <row r="226" ht="14.25" customHeight="1">
      <c r="J226" s="64"/>
    </row>
    <row r="227" ht="14.25" customHeight="1">
      <c r="J227" s="64"/>
    </row>
    <row r="228" ht="14.25" customHeight="1">
      <c r="J228" s="64"/>
    </row>
    <row r="229" ht="14.25" customHeight="1">
      <c r="J229" s="64"/>
    </row>
    <row r="230" ht="14.25" customHeight="1">
      <c r="J230" s="64"/>
    </row>
    <row r="231" ht="14.25" customHeight="1">
      <c r="J231" s="64"/>
    </row>
    <row r="232" ht="14.25" customHeight="1">
      <c r="J232" s="64"/>
    </row>
    <row r="233" ht="14.25" customHeight="1">
      <c r="J233" s="64"/>
    </row>
    <row r="234" ht="14.25" customHeight="1">
      <c r="J234" s="64"/>
    </row>
    <row r="235" ht="14.25" customHeight="1">
      <c r="J235" s="64"/>
    </row>
    <row r="236" ht="14.25" customHeight="1">
      <c r="J236" s="64"/>
    </row>
    <row r="237" ht="14.25" customHeight="1">
      <c r="J237" s="64"/>
    </row>
    <row r="238" ht="14.25" customHeight="1">
      <c r="J238" s="64"/>
    </row>
    <row r="239" ht="14.25" customHeight="1">
      <c r="J239" s="64"/>
    </row>
    <row r="240" ht="14.25" customHeight="1">
      <c r="J240" s="64"/>
    </row>
    <row r="241" ht="14.25" customHeight="1">
      <c r="J241" s="64"/>
    </row>
    <row r="242" ht="14.25" customHeight="1">
      <c r="J242" s="64"/>
    </row>
    <row r="243" ht="14.25" customHeight="1">
      <c r="J243" s="64"/>
    </row>
    <row r="244" ht="14.25" customHeight="1">
      <c r="J244" s="64"/>
    </row>
    <row r="245" ht="14.25" customHeight="1">
      <c r="J245" s="64"/>
    </row>
    <row r="246" ht="14.25" customHeight="1">
      <c r="J246" s="64"/>
    </row>
    <row r="247" ht="14.25" customHeight="1">
      <c r="J247" s="64"/>
    </row>
    <row r="248" ht="14.25" customHeight="1">
      <c r="J248" s="64"/>
    </row>
    <row r="249" ht="14.25" customHeight="1">
      <c r="J249" s="64"/>
    </row>
    <row r="250" ht="14.25" customHeight="1">
      <c r="J250" s="64"/>
    </row>
    <row r="251" ht="14.25" customHeight="1">
      <c r="J251" s="64"/>
    </row>
    <row r="252" ht="14.25" customHeight="1">
      <c r="J252" s="64"/>
    </row>
    <row r="253" ht="14.25" customHeight="1">
      <c r="J253" s="64"/>
    </row>
    <row r="254" ht="14.25" customHeight="1">
      <c r="J254" s="64"/>
    </row>
    <row r="255" ht="14.25" customHeight="1">
      <c r="J255" s="64"/>
    </row>
    <row r="256" ht="14.25" customHeight="1">
      <c r="J256" s="64"/>
    </row>
    <row r="257" ht="14.25" customHeight="1">
      <c r="J257" s="64"/>
    </row>
    <row r="258" ht="14.25" customHeight="1">
      <c r="J258" s="64"/>
    </row>
    <row r="259" ht="14.25" customHeight="1">
      <c r="J259" s="64"/>
    </row>
    <row r="260" ht="14.25" customHeight="1">
      <c r="J260" s="64"/>
    </row>
    <row r="261" ht="14.25" customHeight="1">
      <c r="J261" s="64"/>
    </row>
    <row r="262" ht="14.25" customHeight="1">
      <c r="J262" s="64"/>
    </row>
    <row r="263" ht="14.25" customHeight="1">
      <c r="J263" s="64"/>
    </row>
    <row r="264" ht="14.25" customHeight="1">
      <c r="J264" s="64"/>
    </row>
    <row r="265" ht="14.25" customHeight="1">
      <c r="J265" s="64"/>
    </row>
    <row r="266" ht="14.25" customHeight="1">
      <c r="J266" s="64"/>
    </row>
    <row r="267" ht="14.25" customHeight="1">
      <c r="J267" s="64"/>
    </row>
    <row r="268" ht="14.25" customHeight="1">
      <c r="J268" s="64"/>
    </row>
    <row r="269" ht="14.25" customHeight="1">
      <c r="J269" s="64"/>
    </row>
    <row r="270" ht="14.25" customHeight="1">
      <c r="J270" s="64"/>
    </row>
    <row r="271" ht="14.25" customHeight="1">
      <c r="J271" s="64"/>
    </row>
    <row r="272" ht="14.25" customHeight="1">
      <c r="J272" s="64"/>
    </row>
    <row r="273" ht="14.25" customHeight="1">
      <c r="J273" s="64"/>
    </row>
    <row r="274" ht="14.25" customHeight="1">
      <c r="J274" s="64"/>
    </row>
    <row r="275" ht="14.25" customHeight="1">
      <c r="J275" s="64"/>
    </row>
    <row r="276" ht="14.25" customHeight="1">
      <c r="J276" s="64"/>
    </row>
    <row r="277" ht="14.25" customHeight="1">
      <c r="J277" s="64"/>
    </row>
    <row r="278" ht="14.25" customHeight="1">
      <c r="J278" s="64"/>
    </row>
    <row r="279" ht="14.25" customHeight="1">
      <c r="J279" s="64"/>
    </row>
    <row r="280" ht="14.25" customHeight="1">
      <c r="J280" s="64"/>
    </row>
    <row r="281" ht="14.25" customHeight="1">
      <c r="J281" s="64"/>
    </row>
    <row r="282" ht="14.25" customHeight="1">
      <c r="J282" s="64"/>
    </row>
    <row r="283" ht="14.25" customHeight="1">
      <c r="J283" s="64"/>
    </row>
    <row r="284" ht="14.25" customHeight="1">
      <c r="J284" s="64"/>
    </row>
    <row r="285" ht="14.25" customHeight="1">
      <c r="J285" s="64"/>
    </row>
    <row r="286" ht="14.25" customHeight="1">
      <c r="J286" s="64"/>
    </row>
    <row r="287" ht="14.25" customHeight="1">
      <c r="J287" s="64"/>
    </row>
    <row r="288" ht="14.25" customHeight="1">
      <c r="J288" s="64"/>
    </row>
    <row r="289" ht="14.25" customHeight="1">
      <c r="J289" s="64"/>
    </row>
    <row r="290" ht="14.25" customHeight="1">
      <c r="J290" s="64"/>
    </row>
    <row r="291" ht="14.25" customHeight="1">
      <c r="J291" s="64"/>
    </row>
    <row r="292" ht="14.25" customHeight="1">
      <c r="J292" s="64"/>
    </row>
    <row r="293" ht="14.25" customHeight="1">
      <c r="J293" s="64"/>
    </row>
    <row r="294" ht="14.25" customHeight="1">
      <c r="J294" s="64"/>
    </row>
    <row r="295" ht="14.25" customHeight="1">
      <c r="J295" s="64"/>
    </row>
    <row r="296" ht="14.25" customHeight="1">
      <c r="J296" s="64"/>
    </row>
    <row r="297" ht="14.25" customHeight="1">
      <c r="J297" s="64"/>
    </row>
    <row r="298" ht="14.25" customHeight="1">
      <c r="J298" s="64"/>
    </row>
    <row r="299" ht="14.25" customHeight="1">
      <c r="J299" s="64"/>
    </row>
    <row r="300" ht="14.25" customHeight="1">
      <c r="J300" s="64"/>
    </row>
    <row r="301" ht="14.25" customHeight="1">
      <c r="J301" s="64"/>
    </row>
    <row r="302" ht="14.25" customHeight="1">
      <c r="J302" s="64"/>
    </row>
    <row r="303" ht="14.25" customHeight="1">
      <c r="J303" s="64"/>
    </row>
    <row r="304" ht="14.25" customHeight="1">
      <c r="J304" s="64"/>
    </row>
    <row r="305" ht="14.25" customHeight="1">
      <c r="J305" s="64"/>
    </row>
    <row r="306" ht="14.25" customHeight="1">
      <c r="J306" s="64"/>
    </row>
    <row r="307" ht="14.25" customHeight="1">
      <c r="J307" s="64"/>
    </row>
    <row r="308" ht="14.25" customHeight="1">
      <c r="J308" s="64"/>
    </row>
    <row r="309" ht="14.25" customHeight="1">
      <c r="J309" s="64"/>
    </row>
    <row r="310" ht="14.25" customHeight="1">
      <c r="J310" s="64"/>
    </row>
    <row r="311" ht="14.25" customHeight="1">
      <c r="J311" s="64"/>
    </row>
    <row r="312" ht="14.25" customHeight="1">
      <c r="J312" s="64"/>
    </row>
    <row r="313" ht="14.25" customHeight="1">
      <c r="J313" s="64"/>
    </row>
    <row r="314" ht="14.25" customHeight="1">
      <c r="J314" s="64"/>
    </row>
    <row r="315" ht="14.25" customHeight="1">
      <c r="J315" s="64"/>
    </row>
    <row r="316" ht="14.25" customHeight="1">
      <c r="J316" s="64"/>
    </row>
    <row r="317" ht="14.25" customHeight="1">
      <c r="J317" s="64"/>
    </row>
    <row r="318" ht="14.25" customHeight="1">
      <c r="J318" s="64"/>
    </row>
    <row r="319" ht="14.25" customHeight="1">
      <c r="J319" s="64"/>
    </row>
    <row r="320" ht="14.25" customHeight="1">
      <c r="J320" s="64"/>
    </row>
    <row r="321" ht="14.25" customHeight="1">
      <c r="J321" s="64"/>
    </row>
    <row r="322" ht="14.25" customHeight="1">
      <c r="J322" s="64"/>
    </row>
    <row r="323" ht="14.25" customHeight="1">
      <c r="J323" s="64"/>
    </row>
    <row r="324" ht="14.25" customHeight="1">
      <c r="J324" s="64"/>
    </row>
    <row r="325" ht="14.25" customHeight="1">
      <c r="J325" s="64"/>
    </row>
    <row r="326" ht="14.25" customHeight="1">
      <c r="J326" s="64"/>
    </row>
    <row r="327" ht="14.25" customHeight="1">
      <c r="J327" s="64"/>
    </row>
    <row r="328" ht="14.25" customHeight="1">
      <c r="J328" s="64"/>
    </row>
    <row r="329" ht="14.25" customHeight="1">
      <c r="J329" s="64"/>
    </row>
    <row r="330" ht="14.25" customHeight="1">
      <c r="J330" s="64"/>
    </row>
    <row r="331" ht="14.25" customHeight="1">
      <c r="J331" s="64"/>
    </row>
    <row r="332" ht="14.25" customHeight="1">
      <c r="J332" s="64"/>
    </row>
    <row r="333" ht="14.25" customHeight="1">
      <c r="J333" s="64"/>
    </row>
    <row r="334" ht="14.25" customHeight="1">
      <c r="J334" s="64"/>
    </row>
    <row r="335" ht="14.25" customHeight="1">
      <c r="J335" s="64"/>
    </row>
    <row r="336" ht="14.25" customHeight="1">
      <c r="J336" s="64"/>
    </row>
    <row r="337" ht="14.25" customHeight="1">
      <c r="J337" s="64"/>
    </row>
    <row r="338" ht="14.25" customHeight="1">
      <c r="J338" s="64"/>
    </row>
    <row r="339" ht="14.25" customHeight="1">
      <c r="J339" s="64"/>
    </row>
    <row r="340" ht="14.25" customHeight="1">
      <c r="J340" s="64"/>
    </row>
    <row r="341" ht="14.25" customHeight="1">
      <c r="J341" s="64"/>
    </row>
    <row r="342" ht="14.25" customHeight="1">
      <c r="J342" s="64"/>
    </row>
    <row r="343" ht="14.25" customHeight="1">
      <c r="J343" s="64"/>
    </row>
    <row r="344" ht="14.25" customHeight="1">
      <c r="J344" s="64"/>
    </row>
    <row r="345" ht="14.25" customHeight="1">
      <c r="J345" s="64"/>
    </row>
    <row r="346" ht="14.25" customHeight="1">
      <c r="J346" s="64"/>
    </row>
    <row r="347" ht="14.25" customHeight="1">
      <c r="J347" s="64"/>
    </row>
    <row r="348" ht="14.25" customHeight="1">
      <c r="J348" s="64"/>
    </row>
    <row r="349" ht="14.25" customHeight="1">
      <c r="J349" s="64"/>
    </row>
    <row r="350" ht="14.25" customHeight="1">
      <c r="J350" s="64"/>
    </row>
    <row r="351" ht="14.25" customHeight="1">
      <c r="J351" s="64"/>
    </row>
    <row r="352" ht="14.25" customHeight="1">
      <c r="J352" s="64"/>
    </row>
    <row r="353" ht="14.25" customHeight="1">
      <c r="J353" s="64"/>
    </row>
    <row r="354" ht="14.25" customHeight="1">
      <c r="J354" s="64"/>
    </row>
    <row r="355" ht="14.25" customHeight="1">
      <c r="J355" s="64"/>
    </row>
    <row r="356" ht="14.25" customHeight="1">
      <c r="J356" s="64"/>
    </row>
    <row r="357" ht="14.25" customHeight="1">
      <c r="J357" s="64"/>
    </row>
    <row r="358" ht="14.25" customHeight="1">
      <c r="J358" s="64"/>
    </row>
    <row r="359" ht="14.25" customHeight="1">
      <c r="J359" s="64"/>
    </row>
    <row r="360" ht="14.25" customHeight="1">
      <c r="J360" s="64"/>
    </row>
    <row r="361" ht="14.25" customHeight="1">
      <c r="J361" s="64"/>
    </row>
    <row r="362" ht="14.25" customHeight="1">
      <c r="J362" s="64"/>
    </row>
    <row r="363" ht="14.25" customHeight="1">
      <c r="J363" s="64"/>
    </row>
    <row r="364" ht="14.25" customHeight="1">
      <c r="J364" s="64"/>
    </row>
    <row r="365" ht="14.25" customHeight="1">
      <c r="J365" s="64"/>
    </row>
    <row r="366" ht="14.25" customHeight="1">
      <c r="J366" s="64"/>
    </row>
    <row r="367" ht="14.25" customHeight="1">
      <c r="J367" s="64"/>
    </row>
    <row r="368" ht="14.25" customHeight="1">
      <c r="J368" s="64"/>
    </row>
    <row r="369" ht="14.25" customHeight="1">
      <c r="J369" s="64"/>
    </row>
    <row r="370" ht="14.25" customHeight="1">
      <c r="J370" s="64"/>
    </row>
    <row r="371" ht="14.25" customHeight="1">
      <c r="J371" s="64"/>
    </row>
    <row r="372" ht="14.25" customHeight="1">
      <c r="J372" s="64"/>
    </row>
    <row r="373" ht="14.25" customHeight="1">
      <c r="J373" s="64"/>
    </row>
    <row r="374" ht="14.25" customHeight="1">
      <c r="J374" s="64"/>
    </row>
    <row r="375" ht="14.25" customHeight="1">
      <c r="J375" s="64"/>
    </row>
    <row r="376" ht="14.25" customHeight="1">
      <c r="J376" s="64"/>
    </row>
    <row r="377" ht="14.25" customHeight="1">
      <c r="J377" s="64"/>
    </row>
    <row r="378" ht="14.25" customHeight="1">
      <c r="J378" s="64"/>
    </row>
    <row r="379" ht="14.25" customHeight="1">
      <c r="J379" s="64"/>
    </row>
    <row r="380" ht="14.25" customHeight="1">
      <c r="J380" s="64"/>
    </row>
    <row r="381" ht="14.25" customHeight="1">
      <c r="J381" s="64"/>
    </row>
    <row r="382" ht="14.25" customHeight="1">
      <c r="J382" s="64"/>
    </row>
    <row r="383" ht="14.25" customHeight="1">
      <c r="J383" s="64"/>
    </row>
    <row r="384" ht="14.25" customHeight="1">
      <c r="J384" s="64"/>
    </row>
    <row r="385" ht="14.25" customHeight="1">
      <c r="J385" s="64"/>
    </row>
    <row r="386" ht="14.25" customHeight="1">
      <c r="J386" s="64"/>
    </row>
    <row r="387" ht="14.25" customHeight="1">
      <c r="J387" s="64"/>
    </row>
    <row r="388" ht="14.25" customHeight="1">
      <c r="J388" s="64"/>
    </row>
    <row r="389" ht="14.25" customHeight="1">
      <c r="J389" s="64"/>
    </row>
    <row r="390" ht="14.25" customHeight="1">
      <c r="J390" s="64"/>
    </row>
    <row r="391" ht="14.25" customHeight="1">
      <c r="J391" s="64"/>
    </row>
    <row r="392" ht="14.25" customHeight="1">
      <c r="J392" s="64"/>
    </row>
    <row r="393" ht="14.25" customHeight="1">
      <c r="J393" s="64"/>
    </row>
    <row r="394" ht="14.25" customHeight="1">
      <c r="J394" s="64"/>
    </row>
    <row r="395" ht="14.25" customHeight="1">
      <c r="J395" s="64"/>
    </row>
    <row r="396" ht="14.25" customHeight="1">
      <c r="J396" s="64"/>
    </row>
    <row r="397" ht="14.25" customHeight="1">
      <c r="J397" s="64"/>
    </row>
    <row r="398" ht="14.25" customHeight="1">
      <c r="J398" s="64"/>
    </row>
    <row r="399" ht="14.25" customHeight="1">
      <c r="J399" s="64"/>
    </row>
    <row r="400" ht="14.25" customHeight="1">
      <c r="J400" s="64"/>
    </row>
    <row r="401" ht="14.25" customHeight="1">
      <c r="J401" s="64"/>
    </row>
    <row r="402" ht="14.25" customHeight="1">
      <c r="J402" s="64"/>
    </row>
    <row r="403" ht="14.25" customHeight="1">
      <c r="J403" s="64"/>
    </row>
    <row r="404" ht="14.25" customHeight="1">
      <c r="J404" s="64"/>
    </row>
    <row r="405" ht="14.25" customHeight="1">
      <c r="J405" s="64"/>
    </row>
    <row r="406" ht="14.25" customHeight="1">
      <c r="J406" s="64"/>
    </row>
    <row r="407" ht="14.25" customHeight="1">
      <c r="J407" s="64"/>
    </row>
    <row r="408" ht="14.25" customHeight="1">
      <c r="J408" s="64"/>
    </row>
    <row r="409" ht="14.25" customHeight="1">
      <c r="J409" s="64"/>
    </row>
    <row r="410" ht="14.25" customHeight="1">
      <c r="J410" s="64"/>
    </row>
    <row r="411" ht="14.25" customHeight="1">
      <c r="J411" s="64"/>
    </row>
    <row r="412" ht="14.25" customHeight="1">
      <c r="J412" s="64"/>
    </row>
    <row r="413" ht="14.25" customHeight="1">
      <c r="J413" s="64"/>
    </row>
    <row r="414" ht="14.25" customHeight="1">
      <c r="J414" s="64"/>
    </row>
    <row r="415" ht="14.25" customHeight="1">
      <c r="J415" s="64"/>
    </row>
    <row r="416" ht="14.25" customHeight="1">
      <c r="J416" s="64"/>
    </row>
    <row r="417" ht="14.25" customHeight="1">
      <c r="J417" s="64"/>
    </row>
    <row r="418" ht="14.25" customHeight="1">
      <c r="J418" s="64"/>
    </row>
    <row r="419" ht="14.25" customHeight="1">
      <c r="J419" s="64"/>
    </row>
    <row r="420" ht="14.25" customHeight="1">
      <c r="J420" s="64"/>
    </row>
    <row r="421" ht="14.25" customHeight="1">
      <c r="J421" s="64"/>
    </row>
    <row r="422" ht="14.25" customHeight="1">
      <c r="J422" s="64"/>
    </row>
    <row r="423" ht="14.25" customHeight="1">
      <c r="J423" s="64"/>
    </row>
    <row r="424" ht="14.25" customHeight="1">
      <c r="J424" s="64"/>
    </row>
    <row r="425" ht="14.25" customHeight="1">
      <c r="J425" s="64"/>
    </row>
    <row r="426" ht="14.25" customHeight="1">
      <c r="J426" s="64"/>
    </row>
    <row r="427" ht="14.25" customHeight="1">
      <c r="J427" s="64"/>
    </row>
    <row r="428" ht="14.25" customHeight="1">
      <c r="J428" s="64"/>
    </row>
    <row r="429" ht="14.25" customHeight="1">
      <c r="J429" s="64"/>
    </row>
    <row r="430" ht="14.25" customHeight="1">
      <c r="J430" s="64"/>
    </row>
    <row r="431" ht="14.25" customHeight="1">
      <c r="J431" s="64"/>
    </row>
    <row r="432" ht="14.25" customHeight="1">
      <c r="J432" s="64"/>
    </row>
    <row r="433" ht="14.25" customHeight="1">
      <c r="J433" s="64"/>
    </row>
    <row r="434" ht="14.25" customHeight="1">
      <c r="J434" s="64"/>
    </row>
    <row r="435" ht="14.25" customHeight="1">
      <c r="J435" s="64"/>
    </row>
    <row r="436" ht="14.25" customHeight="1">
      <c r="J436" s="64"/>
    </row>
    <row r="437" ht="14.25" customHeight="1">
      <c r="J437" s="64"/>
    </row>
    <row r="438" ht="14.25" customHeight="1">
      <c r="J438" s="64"/>
    </row>
    <row r="439" ht="14.25" customHeight="1">
      <c r="J439" s="64"/>
    </row>
    <row r="440" ht="14.25" customHeight="1">
      <c r="J440" s="64"/>
    </row>
    <row r="441" ht="14.25" customHeight="1">
      <c r="J441" s="64"/>
    </row>
    <row r="442" ht="14.25" customHeight="1">
      <c r="J442" s="64"/>
    </row>
    <row r="443" ht="14.25" customHeight="1">
      <c r="J443" s="64"/>
    </row>
    <row r="444" ht="14.25" customHeight="1">
      <c r="J444" s="64"/>
    </row>
    <row r="445" ht="14.25" customHeight="1">
      <c r="J445" s="64"/>
    </row>
    <row r="446" ht="14.25" customHeight="1">
      <c r="J446" s="64"/>
    </row>
    <row r="447" ht="14.25" customHeight="1">
      <c r="J447" s="64"/>
    </row>
    <row r="448" ht="14.25" customHeight="1">
      <c r="J448" s="64"/>
    </row>
    <row r="449" ht="14.25" customHeight="1">
      <c r="J449" s="64"/>
    </row>
    <row r="450" ht="14.25" customHeight="1">
      <c r="J450" s="64"/>
    </row>
    <row r="451" ht="14.25" customHeight="1">
      <c r="J451" s="64"/>
    </row>
    <row r="452" ht="14.25" customHeight="1">
      <c r="J452" s="64"/>
    </row>
    <row r="453" ht="14.25" customHeight="1">
      <c r="J453" s="64"/>
    </row>
    <row r="454" ht="14.25" customHeight="1">
      <c r="J454" s="64"/>
    </row>
    <row r="455" ht="14.25" customHeight="1">
      <c r="J455" s="64"/>
    </row>
    <row r="456" ht="14.25" customHeight="1">
      <c r="J456" s="64"/>
    </row>
    <row r="457" ht="14.25" customHeight="1">
      <c r="J457" s="64"/>
    </row>
    <row r="458" ht="14.25" customHeight="1">
      <c r="J458" s="64"/>
    </row>
    <row r="459" ht="14.25" customHeight="1">
      <c r="J459" s="64"/>
    </row>
    <row r="460" ht="14.25" customHeight="1">
      <c r="J460" s="64"/>
    </row>
    <row r="461" ht="14.25" customHeight="1">
      <c r="J461" s="64"/>
    </row>
    <row r="462" ht="14.25" customHeight="1">
      <c r="J462" s="64"/>
    </row>
    <row r="463" ht="14.25" customHeight="1">
      <c r="J463" s="64"/>
    </row>
    <row r="464" ht="14.25" customHeight="1">
      <c r="J464" s="64"/>
    </row>
    <row r="465" ht="14.25" customHeight="1">
      <c r="J465" s="64"/>
    </row>
    <row r="466" ht="14.25" customHeight="1">
      <c r="J466" s="64"/>
    </row>
    <row r="467" ht="14.25" customHeight="1">
      <c r="J467" s="64"/>
    </row>
    <row r="468" ht="14.25" customHeight="1">
      <c r="J468" s="64"/>
    </row>
    <row r="469" ht="14.25" customHeight="1">
      <c r="J469" s="64"/>
    </row>
    <row r="470" ht="14.25" customHeight="1">
      <c r="J470" s="64"/>
    </row>
    <row r="471" ht="14.25" customHeight="1">
      <c r="J471" s="64"/>
    </row>
    <row r="472" ht="14.25" customHeight="1">
      <c r="J472" s="64"/>
    </row>
    <row r="473" ht="14.25" customHeight="1">
      <c r="J473" s="64"/>
    </row>
    <row r="474" ht="14.25" customHeight="1">
      <c r="J474" s="64"/>
    </row>
    <row r="475" ht="14.25" customHeight="1">
      <c r="J475" s="64"/>
    </row>
    <row r="476" ht="14.25" customHeight="1">
      <c r="J476" s="64"/>
    </row>
    <row r="477" ht="14.25" customHeight="1">
      <c r="J477" s="64"/>
    </row>
    <row r="478" ht="14.25" customHeight="1">
      <c r="J478" s="64"/>
    </row>
    <row r="479" ht="14.25" customHeight="1">
      <c r="J479" s="64"/>
    </row>
    <row r="480" ht="14.25" customHeight="1">
      <c r="J480" s="64"/>
    </row>
    <row r="481" ht="14.25" customHeight="1">
      <c r="J481" s="64"/>
    </row>
    <row r="482" ht="14.25" customHeight="1">
      <c r="J482" s="64"/>
    </row>
    <row r="483" ht="14.25" customHeight="1">
      <c r="J483" s="64"/>
    </row>
    <row r="484" ht="14.25" customHeight="1">
      <c r="J484" s="64"/>
    </row>
    <row r="485" ht="14.25" customHeight="1">
      <c r="J485" s="64"/>
    </row>
    <row r="486" ht="14.25" customHeight="1">
      <c r="J486" s="64"/>
    </row>
    <row r="487" ht="14.25" customHeight="1">
      <c r="J487" s="64"/>
    </row>
    <row r="488" ht="14.25" customHeight="1">
      <c r="J488" s="64"/>
    </row>
    <row r="489" ht="14.25" customHeight="1">
      <c r="J489" s="64"/>
    </row>
    <row r="490" ht="14.25" customHeight="1">
      <c r="J490" s="64"/>
    </row>
    <row r="491" ht="14.25" customHeight="1">
      <c r="J491" s="64"/>
    </row>
    <row r="492" ht="14.25" customHeight="1">
      <c r="J492" s="64"/>
    </row>
    <row r="493" ht="14.25" customHeight="1">
      <c r="J493" s="64"/>
    </row>
    <row r="494" ht="14.25" customHeight="1">
      <c r="J494" s="64"/>
    </row>
    <row r="495" ht="14.25" customHeight="1">
      <c r="J495" s="64"/>
    </row>
    <row r="496" ht="14.25" customHeight="1">
      <c r="J496" s="64"/>
    </row>
    <row r="497" ht="14.25" customHeight="1">
      <c r="J497" s="64"/>
    </row>
    <row r="498" ht="14.25" customHeight="1">
      <c r="J498" s="64"/>
    </row>
    <row r="499" ht="14.25" customHeight="1">
      <c r="J499" s="64"/>
    </row>
    <row r="500" ht="14.25" customHeight="1">
      <c r="J500" s="64"/>
    </row>
    <row r="501" ht="14.25" customHeight="1">
      <c r="J501" s="64"/>
    </row>
    <row r="502" ht="14.25" customHeight="1">
      <c r="J502" s="64"/>
    </row>
    <row r="503" ht="14.25" customHeight="1">
      <c r="J503" s="64"/>
    </row>
    <row r="504" ht="14.25" customHeight="1">
      <c r="J504" s="64"/>
    </row>
    <row r="505" ht="14.25" customHeight="1">
      <c r="J505" s="64"/>
    </row>
    <row r="506" ht="14.25" customHeight="1">
      <c r="J506" s="64"/>
    </row>
    <row r="507" ht="14.25" customHeight="1">
      <c r="J507" s="64"/>
    </row>
    <row r="508" ht="14.25" customHeight="1">
      <c r="J508" s="64"/>
    </row>
    <row r="509" ht="14.25" customHeight="1">
      <c r="J509" s="64"/>
    </row>
    <row r="510" ht="14.25" customHeight="1">
      <c r="J510" s="64"/>
    </row>
    <row r="511" ht="14.25" customHeight="1">
      <c r="J511" s="64"/>
    </row>
    <row r="512" ht="14.25" customHeight="1">
      <c r="J512" s="64"/>
    </row>
    <row r="513" ht="14.25" customHeight="1">
      <c r="J513" s="64"/>
    </row>
    <row r="514" ht="14.25" customHeight="1">
      <c r="J514" s="64"/>
    </row>
    <row r="515" ht="14.25" customHeight="1">
      <c r="J515" s="64"/>
    </row>
    <row r="516" ht="14.25" customHeight="1">
      <c r="J516" s="64"/>
    </row>
    <row r="517" ht="14.25" customHeight="1">
      <c r="J517" s="64"/>
    </row>
    <row r="518" ht="14.25" customHeight="1">
      <c r="J518" s="64"/>
    </row>
    <row r="519" ht="14.25" customHeight="1">
      <c r="J519" s="64"/>
    </row>
    <row r="520" ht="14.25" customHeight="1">
      <c r="J520" s="64"/>
    </row>
    <row r="521" ht="14.25" customHeight="1">
      <c r="J521" s="64"/>
    </row>
    <row r="522" ht="14.25" customHeight="1">
      <c r="J522" s="64"/>
    </row>
    <row r="523" ht="14.25" customHeight="1">
      <c r="J523" s="64"/>
    </row>
    <row r="524" ht="14.25" customHeight="1">
      <c r="J524" s="64"/>
    </row>
    <row r="525" ht="14.25" customHeight="1">
      <c r="J525" s="64"/>
    </row>
    <row r="526" ht="14.25" customHeight="1">
      <c r="J526" s="64"/>
    </row>
    <row r="527" ht="14.25" customHeight="1">
      <c r="J527" s="64"/>
    </row>
    <row r="528" ht="14.25" customHeight="1">
      <c r="J528" s="64"/>
    </row>
    <row r="529" ht="14.25" customHeight="1">
      <c r="J529" s="64"/>
    </row>
    <row r="530" ht="14.25" customHeight="1">
      <c r="J530" s="64"/>
    </row>
    <row r="531" ht="14.25" customHeight="1">
      <c r="J531" s="64"/>
    </row>
    <row r="532" ht="14.25" customHeight="1">
      <c r="J532" s="64"/>
    </row>
    <row r="533" ht="14.25" customHeight="1">
      <c r="J533" s="64"/>
    </row>
    <row r="534" ht="14.25" customHeight="1">
      <c r="J534" s="64"/>
    </row>
    <row r="535" ht="14.25" customHeight="1">
      <c r="J535" s="64"/>
    </row>
    <row r="536" ht="14.25" customHeight="1">
      <c r="J536" s="64"/>
    </row>
    <row r="537" ht="14.25" customHeight="1">
      <c r="J537" s="64"/>
    </row>
    <row r="538" ht="14.25" customHeight="1">
      <c r="J538" s="64"/>
    </row>
    <row r="539" ht="14.25" customHeight="1">
      <c r="J539" s="64"/>
    </row>
    <row r="540" ht="14.25" customHeight="1">
      <c r="J540" s="64"/>
    </row>
    <row r="541" ht="14.25" customHeight="1">
      <c r="J541" s="64"/>
    </row>
    <row r="542" ht="14.25" customHeight="1">
      <c r="J542" s="64"/>
    </row>
    <row r="543" ht="14.25" customHeight="1">
      <c r="J543" s="64"/>
    </row>
    <row r="544" ht="14.25" customHeight="1">
      <c r="J544" s="64"/>
    </row>
    <row r="545" ht="14.25" customHeight="1">
      <c r="J545" s="64"/>
    </row>
    <row r="546" ht="14.25" customHeight="1">
      <c r="J546" s="64"/>
    </row>
    <row r="547" ht="14.25" customHeight="1">
      <c r="J547" s="64"/>
    </row>
    <row r="548" ht="14.25" customHeight="1">
      <c r="J548" s="64"/>
    </row>
    <row r="549" ht="14.25" customHeight="1">
      <c r="J549" s="64"/>
    </row>
    <row r="550" ht="14.25" customHeight="1">
      <c r="J550" s="64"/>
    </row>
    <row r="551" ht="14.25" customHeight="1">
      <c r="J551" s="64"/>
    </row>
    <row r="552" ht="14.25" customHeight="1">
      <c r="J552" s="64"/>
    </row>
    <row r="553" ht="14.25" customHeight="1">
      <c r="J553" s="64"/>
    </row>
    <row r="554" ht="14.25" customHeight="1">
      <c r="J554" s="64"/>
    </row>
    <row r="555" ht="14.25" customHeight="1">
      <c r="J555" s="64"/>
    </row>
    <row r="556" ht="14.25" customHeight="1">
      <c r="J556" s="64"/>
    </row>
    <row r="557" ht="14.25" customHeight="1">
      <c r="J557" s="64"/>
    </row>
    <row r="558" ht="14.25" customHeight="1">
      <c r="J558" s="64"/>
    </row>
    <row r="559" ht="14.25" customHeight="1">
      <c r="J559" s="64"/>
    </row>
    <row r="560" ht="14.25" customHeight="1">
      <c r="J560" s="64"/>
    </row>
    <row r="561" ht="14.25" customHeight="1">
      <c r="J561" s="64"/>
    </row>
    <row r="562" ht="14.25" customHeight="1">
      <c r="J562" s="64"/>
    </row>
    <row r="563" ht="14.25" customHeight="1">
      <c r="J563" s="64"/>
    </row>
    <row r="564" ht="14.25" customHeight="1">
      <c r="J564" s="64"/>
    </row>
    <row r="565" ht="14.25" customHeight="1">
      <c r="J565" s="64"/>
    </row>
    <row r="566" ht="14.25" customHeight="1">
      <c r="J566" s="64"/>
    </row>
    <row r="567" ht="14.25" customHeight="1">
      <c r="J567" s="64"/>
    </row>
    <row r="568" ht="14.25" customHeight="1">
      <c r="J568" s="64"/>
    </row>
    <row r="569" ht="14.25" customHeight="1">
      <c r="J569" s="64"/>
    </row>
    <row r="570" ht="14.25" customHeight="1">
      <c r="J570" s="64"/>
    </row>
    <row r="571" ht="14.25" customHeight="1">
      <c r="J571" s="64"/>
    </row>
    <row r="572" ht="14.25" customHeight="1">
      <c r="J572" s="64"/>
    </row>
    <row r="573" ht="14.25" customHeight="1">
      <c r="J573" s="64"/>
    </row>
    <row r="574" ht="14.25" customHeight="1">
      <c r="J574" s="64"/>
    </row>
    <row r="575" ht="14.25" customHeight="1">
      <c r="J575" s="64"/>
    </row>
    <row r="576" ht="14.25" customHeight="1">
      <c r="J576" s="64"/>
    </row>
    <row r="577" ht="14.25" customHeight="1">
      <c r="J577" s="64"/>
    </row>
    <row r="578" ht="14.25" customHeight="1">
      <c r="J578" s="64"/>
    </row>
    <row r="579" ht="14.25" customHeight="1">
      <c r="J579" s="64"/>
    </row>
    <row r="580" ht="14.25" customHeight="1">
      <c r="J580" s="64"/>
    </row>
    <row r="581" ht="14.25" customHeight="1">
      <c r="J581" s="64"/>
    </row>
    <row r="582" ht="14.25" customHeight="1">
      <c r="J582" s="64"/>
    </row>
    <row r="583" ht="14.25" customHeight="1">
      <c r="J583" s="64"/>
    </row>
    <row r="584" ht="14.25" customHeight="1">
      <c r="J584" s="64"/>
    </row>
    <row r="585" ht="14.25" customHeight="1">
      <c r="J585" s="64"/>
    </row>
    <row r="586" ht="14.25" customHeight="1">
      <c r="J586" s="64"/>
    </row>
    <row r="587" ht="14.25" customHeight="1">
      <c r="J587" s="64"/>
    </row>
    <row r="588" ht="14.25" customHeight="1">
      <c r="J588" s="64"/>
    </row>
    <row r="589" ht="14.25" customHeight="1">
      <c r="J589" s="64"/>
    </row>
    <row r="590" ht="14.25" customHeight="1">
      <c r="J590" s="64"/>
    </row>
    <row r="591" ht="14.25" customHeight="1">
      <c r="J591" s="64"/>
    </row>
    <row r="592" ht="14.25" customHeight="1">
      <c r="J592" s="64"/>
    </row>
    <row r="593" ht="14.25" customHeight="1">
      <c r="J593" s="64"/>
    </row>
    <row r="594" ht="14.25" customHeight="1">
      <c r="J594" s="64"/>
    </row>
    <row r="595" ht="14.25" customHeight="1">
      <c r="J595" s="64"/>
    </row>
    <row r="596" ht="14.25" customHeight="1">
      <c r="J596" s="64"/>
    </row>
    <row r="597" ht="14.25" customHeight="1">
      <c r="J597" s="64"/>
    </row>
    <row r="598" ht="14.25" customHeight="1">
      <c r="J598" s="64"/>
    </row>
    <row r="599" ht="14.25" customHeight="1">
      <c r="J599" s="64"/>
    </row>
    <row r="600" ht="14.25" customHeight="1">
      <c r="J600" s="64"/>
    </row>
    <row r="601" ht="14.25" customHeight="1">
      <c r="J601" s="64"/>
    </row>
    <row r="602" ht="14.25" customHeight="1">
      <c r="J602" s="64"/>
    </row>
    <row r="603" ht="14.25" customHeight="1">
      <c r="J603" s="64"/>
    </row>
    <row r="604" ht="14.25" customHeight="1">
      <c r="J604" s="64"/>
    </row>
    <row r="605" ht="14.25" customHeight="1">
      <c r="J605" s="64"/>
    </row>
    <row r="606" ht="14.25" customHeight="1">
      <c r="J606" s="64"/>
    </row>
    <row r="607" ht="14.25" customHeight="1">
      <c r="J607" s="64"/>
    </row>
    <row r="608" ht="14.25" customHeight="1">
      <c r="J608" s="64"/>
    </row>
    <row r="609" ht="14.25" customHeight="1">
      <c r="J609" s="64"/>
    </row>
    <row r="610" ht="14.25" customHeight="1">
      <c r="J610" s="64"/>
    </row>
    <row r="611" ht="14.25" customHeight="1">
      <c r="J611" s="64"/>
    </row>
    <row r="612" ht="14.25" customHeight="1">
      <c r="J612" s="64"/>
    </row>
    <row r="613" ht="14.25" customHeight="1">
      <c r="J613" s="64"/>
    </row>
    <row r="614" ht="14.25" customHeight="1">
      <c r="J614" s="64"/>
    </row>
    <row r="615" ht="14.25" customHeight="1">
      <c r="J615" s="64"/>
    </row>
    <row r="616" ht="14.25" customHeight="1">
      <c r="J616" s="64"/>
    </row>
    <row r="617" ht="14.25" customHeight="1">
      <c r="J617" s="64"/>
    </row>
    <row r="618" ht="14.25" customHeight="1">
      <c r="J618" s="64"/>
    </row>
    <row r="619" ht="14.25" customHeight="1">
      <c r="J619" s="64"/>
    </row>
    <row r="620" ht="14.25" customHeight="1">
      <c r="J620" s="64"/>
    </row>
    <row r="621" ht="14.25" customHeight="1">
      <c r="J621" s="64"/>
    </row>
    <row r="622" ht="14.25" customHeight="1">
      <c r="J622" s="64"/>
    </row>
    <row r="623" ht="14.25" customHeight="1">
      <c r="J623" s="64"/>
    </row>
    <row r="624" ht="14.25" customHeight="1">
      <c r="J624" s="64"/>
    </row>
    <row r="625" ht="14.25" customHeight="1">
      <c r="J625" s="64"/>
    </row>
    <row r="626" ht="14.25" customHeight="1">
      <c r="J626" s="64"/>
    </row>
    <row r="627" ht="14.25" customHeight="1">
      <c r="J627" s="64"/>
    </row>
    <row r="628" ht="14.25" customHeight="1">
      <c r="J628" s="64"/>
    </row>
    <row r="629" ht="14.25" customHeight="1">
      <c r="J629" s="64"/>
    </row>
    <row r="630" ht="14.25" customHeight="1">
      <c r="J630" s="64"/>
    </row>
    <row r="631" ht="14.25" customHeight="1">
      <c r="J631" s="64"/>
    </row>
    <row r="632" ht="14.25" customHeight="1">
      <c r="J632" s="64"/>
    </row>
    <row r="633" ht="14.25" customHeight="1">
      <c r="J633" s="64"/>
    </row>
    <row r="634" ht="14.25" customHeight="1">
      <c r="J634" s="64"/>
    </row>
    <row r="635" ht="14.25" customHeight="1">
      <c r="J635" s="64"/>
    </row>
    <row r="636" ht="14.25" customHeight="1">
      <c r="J636" s="64"/>
    </row>
    <row r="637" ht="14.25" customHeight="1">
      <c r="J637" s="64"/>
    </row>
    <row r="638" ht="14.25" customHeight="1">
      <c r="J638" s="64"/>
    </row>
    <row r="639" ht="14.25" customHeight="1">
      <c r="J639" s="64"/>
    </row>
    <row r="640" ht="14.25" customHeight="1">
      <c r="J640" s="64"/>
    </row>
    <row r="641" ht="14.25" customHeight="1">
      <c r="J641" s="64"/>
    </row>
    <row r="642" ht="14.25" customHeight="1">
      <c r="J642" s="64"/>
    </row>
    <row r="643" ht="14.25" customHeight="1">
      <c r="J643" s="64"/>
    </row>
    <row r="644" ht="14.25" customHeight="1">
      <c r="J644" s="64"/>
    </row>
    <row r="645" ht="14.25" customHeight="1">
      <c r="J645" s="64"/>
    </row>
    <row r="646" ht="14.25" customHeight="1">
      <c r="J646" s="64"/>
    </row>
    <row r="647" ht="14.25" customHeight="1">
      <c r="J647" s="64"/>
    </row>
    <row r="648" ht="14.25" customHeight="1">
      <c r="J648" s="64"/>
    </row>
    <row r="649" ht="14.25" customHeight="1">
      <c r="J649" s="64"/>
    </row>
    <row r="650" ht="14.25" customHeight="1">
      <c r="J650" s="64"/>
    </row>
    <row r="651" ht="14.25" customHeight="1">
      <c r="J651" s="64"/>
    </row>
    <row r="652" ht="14.25" customHeight="1">
      <c r="J652" s="64"/>
    </row>
    <row r="653" ht="14.25" customHeight="1">
      <c r="J653" s="64"/>
    </row>
    <row r="654" ht="14.25" customHeight="1">
      <c r="J654" s="64"/>
    </row>
    <row r="655" ht="14.25" customHeight="1">
      <c r="J655" s="64"/>
    </row>
    <row r="656" ht="14.25" customHeight="1">
      <c r="J656" s="64"/>
    </row>
    <row r="657" ht="14.25" customHeight="1">
      <c r="J657" s="64"/>
    </row>
    <row r="658" ht="14.25" customHeight="1">
      <c r="J658" s="64"/>
    </row>
    <row r="659" ht="14.25" customHeight="1">
      <c r="J659" s="64"/>
    </row>
    <row r="660" ht="14.25" customHeight="1">
      <c r="J660" s="64"/>
    </row>
    <row r="661" ht="14.25" customHeight="1">
      <c r="J661" s="64"/>
    </row>
    <row r="662" ht="14.25" customHeight="1">
      <c r="J662" s="64"/>
    </row>
    <row r="663" ht="14.25" customHeight="1">
      <c r="J663" s="64"/>
    </row>
    <row r="664" ht="14.25" customHeight="1">
      <c r="J664" s="64"/>
    </row>
    <row r="665" ht="14.25" customHeight="1">
      <c r="J665" s="64"/>
    </row>
    <row r="666" ht="14.25" customHeight="1">
      <c r="J666" s="64"/>
    </row>
    <row r="667" ht="14.25" customHeight="1">
      <c r="J667" s="64"/>
    </row>
    <row r="668" ht="14.25" customHeight="1">
      <c r="J668" s="64"/>
    </row>
    <row r="669" ht="14.25" customHeight="1">
      <c r="J669" s="64"/>
    </row>
    <row r="670" ht="14.25" customHeight="1">
      <c r="J670" s="64"/>
    </row>
    <row r="671" ht="14.25" customHeight="1">
      <c r="J671" s="64"/>
    </row>
    <row r="672" ht="14.25" customHeight="1">
      <c r="J672" s="64"/>
    </row>
    <row r="673" ht="14.25" customHeight="1">
      <c r="J673" s="64"/>
    </row>
    <row r="674" ht="14.25" customHeight="1">
      <c r="J674" s="64"/>
    </row>
    <row r="675" ht="14.25" customHeight="1">
      <c r="J675" s="64"/>
    </row>
    <row r="676" ht="14.25" customHeight="1">
      <c r="J676" s="64"/>
    </row>
    <row r="677" ht="14.25" customHeight="1">
      <c r="J677" s="64"/>
    </row>
    <row r="678" ht="14.25" customHeight="1">
      <c r="J678" s="64"/>
    </row>
    <row r="679" ht="14.25" customHeight="1">
      <c r="J679" s="64"/>
    </row>
    <row r="680" ht="14.25" customHeight="1">
      <c r="J680" s="64"/>
    </row>
    <row r="681" ht="14.25" customHeight="1">
      <c r="J681" s="64"/>
    </row>
    <row r="682" ht="14.25" customHeight="1">
      <c r="J682" s="64"/>
    </row>
    <row r="683" ht="14.25" customHeight="1">
      <c r="J683" s="64"/>
    </row>
    <row r="684" ht="14.25" customHeight="1">
      <c r="J684" s="64"/>
    </row>
    <row r="685" ht="14.25" customHeight="1">
      <c r="J685" s="64"/>
    </row>
    <row r="686" ht="14.25" customHeight="1">
      <c r="J686" s="64"/>
    </row>
    <row r="687" ht="14.25" customHeight="1">
      <c r="J687" s="64"/>
    </row>
    <row r="688" ht="14.25" customHeight="1">
      <c r="J688" s="64"/>
    </row>
    <row r="689" ht="14.25" customHeight="1">
      <c r="J689" s="64"/>
    </row>
    <row r="690" ht="14.25" customHeight="1">
      <c r="J690" s="64"/>
    </row>
    <row r="691" ht="14.25" customHeight="1">
      <c r="J691" s="64"/>
    </row>
    <row r="692" ht="14.25" customHeight="1">
      <c r="J692" s="64"/>
    </row>
    <row r="693" ht="14.25" customHeight="1">
      <c r="J693" s="64"/>
    </row>
    <row r="694" ht="14.25" customHeight="1">
      <c r="J694" s="64"/>
    </row>
    <row r="695" ht="14.25" customHeight="1">
      <c r="J695" s="64"/>
    </row>
    <row r="696" ht="14.25" customHeight="1">
      <c r="J696" s="64"/>
    </row>
    <row r="697" ht="14.25" customHeight="1">
      <c r="J697" s="64"/>
    </row>
    <row r="698" ht="14.25" customHeight="1">
      <c r="J698" s="64"/>
    </row>
    <row r="699" ht="14.25" customHeight="1">
      <c r="J699" s="64"/>
    </row>
    <row r="700" ht="14.25" customHeight="1">
      <c r="J700" s="64"/>
    </row>
    <row r="701" ht="14.25" customHeight="1">
      <c r="J701" s="64"/>
    </row>
    <row r="702" ht="14.25" customHeight="1">
      <c r="J702" s="64"/>
    </row>
    <row r="703" ht="14.25" customHeight="1">
      <c r="J703" s="64"/>
    </row>
    <row r="704" ht="14.25" customHeight="1">
      <c r="J704" s="64"/>
    </row>
    <row r="705" ht="14.25" customHeight="1">
      <c r="J705" s="64"/>
    </row>
    <row r="706" ht="14.25" customHeight="1">
      <c r="J706" s="64"/>
    </row>
    <row r="707" ht="14.25" customHeight="1">
      <c r="J707" s="64"/>
    </row>
    <row r="708" ht="14.25" customHeight="1">
      <c r="J708" s="64"/>
    </row>
    <row r="709" ht="14.25" customHeight="1">
      <c r="J709" s="64"/>
    </row>
    <row r="710" ht="14.25" customHeight="1">
      <c r="J710" s="64"/>
    </row>
    <row r="711" ht="14.25" customHeight="1">
      <c r="J711" s="64"/>
    </row>
    <row r="712" ht="14.25" customHeight="1">
      <c r="J712" s="64"/>
    </row>
    <row r="713" ht="14.25" customHeight="1">
      <c r="J713" s="64"/>
    </row>
    <row r="714" ht="14.25" customHeight="1">
      <c r="J714" s="64"/>
    </row>
    <row r="715" ht="14.25" customHeight="1">
      <c r="J715" s="64"/>
    </row>
    <row r="716" ht="14.25" customHeight="1">
      <c r="J716" s="64"/>
    </row>
    <row r="717" ht="14.25" customHeight="1">
      <c r="J717" s="64"/>
    </row>
    <row r="718" ht="14.25" customHeight="1">
      <c r="J718" s="64"/>
    </row>
    <row r="719" ht="14.25" customHeight="1">
      <c r="J719" s="64"/>
    </row>
    <row r="720" ht="14.25" customHeight="1">
      <c r="J720" s="64"/>
    </row>
    <row r="721" ht="14.25" customHeight="1">
      <c r="J721" s="64"/>
    </row>
    <row r="722" ht="14.25" customHeight="1">
      <c r="J722" s="64"/>
    </row>
    <row r="723" ht="14.25" customHeight="1">
      <c r="J723" s="64"/>
    </row>
    <row r="724" ht="14.25" customHeight="1">
      <c r="J724" s="64"/>
    </row>
    <row r="725" ht="14.25" customHeight="1">
      <c r="J725" s="64"/>
    </row>
    <row r="726" ht="14.25" customHeight="1">
      <c r="J726" s="64"/>
    </row>
    <row r="727" ht="14.25" customHeight="1">
      <c r="J727" s="64"/>
    </row>
    <row r="728" ht="14.25" customHeight="1">
      <c r="J728" s="64"/>
    </row>
    <row r="729" ht="14.25" customHeight="1">
      <c r="J729" s="64"/>
    </row>
    <row r="730" ht="14.25" customHeight="1">
      <c r="J730" s="64"/>
    </row>
    <row r="731" ht="14.25" customHeight="1">
      <c r="J731" s="64"/>
    </row>
    <row r="732" ht="14.25" customHeight="1">
      <c r="J732" s="64"/>
    </row>
    <row r="733" ht="14.25" customHeight="1">
      <c r="J733" s="64"/>
    </row>
    <row r="734" ht="14.25" customHeight="1">
      <c r="J734" s="64"/>
    </row>
    <row r="735" ht="14.25" customHeight="1">
      <c r="J735" s="64"/>
    </row>
    <row r="736" ht="14.25" customHeight="1">
      <c r="J736" s="64"/>
    </row>
    <row r="737" ht="14.25" customHeight="1">
      <c r="J737" s="64"/>
    </row>
    <row r="738" ht="14.25" customHeight="1">
      <c r="J738" s="64"/>
    </row>
    <row r="739" ht="14.25" customHeight="1">
      <c r="J739" s="64"/>
    </row>
    <row r="740" ht="14.25" customHeight="1">
      <c r="J740" s="64"/>
    </row>
    <row r="741" ht="14.25" customHeight="1">
      <c r="J741" s="64"/>
    </row>
    <row r="742" ht="14.25" customHeight="1">
      <c r="J742" s="64"/>
    </row>
    <row r="743" ht="14.25" customHeight="1">
      <c r="J743" s="64"/>
    </row>
    <row r="744" ht="14.25" customHeight="1">
      <c r="J744" s="64"/>
    </row>
    <row r="745" ht="14.25" customHeight="1">
      <c r="J745" s="64"/>
    </row>
    <row r="746" ht="14.25" customHeight="1">
      <c r="J746" s="64"/>
    </row>
    <row r="747" ht="14.25" customHeight="1">
      <c r="J747" s="64"/>
    </row>
    <row r="748" ht="14.25" customHeight="1">
      <c r="J748" s="64"/>
    </row>
    <row r="749" ht="14.25" customHeight="1">
      <c r="J749" s="64"/>
    </row>
    <row r="750" ht="14.25" customHeight="1">
      <c r="J750" s="64"/>
    </row>
    <row r="751" ht="14.25" customHeight="1">
      <c r="J751" s="64"/>
    </row>
    <row r="752" ht="14.25" customHeight="1">
      <c r="J752" s="64"/>
    </row>
    <row r="753" ht="14.25" customHeight="1">
      <c r="J753" s="64"/>
    </row>
    <row r="754" ht="14.25" customHeight="1">
      <c r="J754" s="64"/>
    </row>
    <row r="755" ht="14.25" customHeight="1">
      <c r="J755" s="64"/>
    </row>
    <row r="756" ht="14.25" customHeight="1">
      <c r="J756" s="64"/>
    </row>
    <row r="757" ht="14.25" customHeight="1">
      <c r="J757" s="64"/>
    </row>
    <row r="758" ht="14.25" customHeight="1">
      <c r="J758" s="64"/>
    </row>
    <row r="759" ht="14.25" customHeight="1">
      <c r="J759" s="64"/>
    </row>
    <row r="760" ht="14.25" customHeight="1">
      <c r="J760" s="64"/>
    </row>
    <row r="761" ht="14.25" customHeight="1">
      <c r="J761" s="64"/>
    </row>
    <row r="762" ht="14.25" customHeight="1">
      <c r="J762" s="64"/>
    </row>
    <row r="763" ht="14.25" customHeight="1">
      <c r="J763" s="64"/>
    </row>
    <row r="764" ht="14.25" customHeight="1">
      <c r="J764" s="64"/>
    </row>
    <row r="765" ht="14.25" customHeight="1">
      <c r="J765" s="64"/>
    </row>
    <row r="766" ht="14.25" customHeight="1">
      <c r="J766" s="64"/>
    </row>
    <row r="767" ht="14.25" customHeight="1">
      <c r="J767" s="64"/>
    </row>
    <row r="768" ht="14.25" customHeight="1">
      <c r="J768" s="64"/>
    </row>
    <row r="769" ht="14.25" customHeight="1">
      <c r="J769" s="64"/>
    </row>
    <row r="770" ht="14.25" customHeight="1">
      <c r="J770" s="64"/>
    </row>
    <row r="771" ht="14.25" customHeight="1">
      <c r="J771" s="64"/>
    </row>
    <row r="772" ht="14.25" customHeight="1">
      <c r="J772" s="64"/>
    </row>
    <row r="773" ht="14.25" customHeight="1">
      <c r="J773" s="64"/>
    </row>
    <row r="774" ht="14.25" customHeight="1">
      <c r="J774" s="64"/>
    </row>
    <row r="775" ht="14.25" customHeight="1">
      <c r="J775" s="64"/>
    </row>
    <row r="776" ht="14.25" customHeight="1">
      <c r="J776" s="64"/>
    </row>
    <row r="777" ht="14.25" customHeight="1">
      <c r="J777" s="64"/>
    </row>
    <row r="778" ht="14.25" customHeight="1">
      <c r="J778" s="64"/>
    </row>
    <row r="779" ht="14.25" customHeight="1">
      <c r="J779" s="64"/>
    </row>
    <row r="780" ht="14.25" customHeight="1">
      <c r="J780" s="64"/>
    </row>
    <row r="781" ht="14.25" customHeight="1">
      <c r="J781" s="64"/>
    </row>
    <row r="782" ht="14.25" customHeight="1">
      <c r="J782" s="64"/>
    </row>
    <row r="783" ht="14.25" customHeight="1">
      <c r="J783" s="64"/>
    </row>
    <row r="784" ht="14.25" customHeight="1">
      <c r="J784" s="64"/>
    </row>
    <row r="785" ht="14.25" customHeight="1">
      <c r="J785" s="64"/>
    </row>
    <row r="786" ht="14.25" customHeight="1">
      <c r="J786" s="64"/>
    </row>
    <row r="787" ht="14.25" customHeight="1">
      <c r="J787" s="64"/>
    </row>
    <row r="788" ht="14.25" customHeight="1">
      <c r="J788" s="64"/>
    </row>
    <row r="789" ht="14.25" customHeight="1">
      <c r="J789" s="64"/>
    </row>
    <row r="790" ht="14.25" customHeight="1">
      <c r="J790" s="64"/>
    </row>
    <row r="791" ht="14.25" customHeight="1">
      <c r="J791" s="64"/>
    </row>
    <row r="792" ht="14.25" customHeight="1">
      <c r="J792" s="64"/>
    </row>
    <row r="793" ht="14.25" customHeight="1">
      <c r="J793" s="64"/>
    </row>
    <row r="794" ht="14.25" customHeight="1">
      <c r="J794" s="64"/>
    </row>
    <row r="795" ht="14.25" customHeight="1">
      <c r="J795" s="64"/>
    </row>
    <row r="796" ht="14.25" customHeight="1">
      <c r="J796" s="64"/>
    </row>
    <row r="797" ht="14.25" customHeight="1">
      <c r="J797" s="64"/>
    </row>
    <row r="798" ht="14.25" customHeight="1">
      <c r="J798" s="64"/>
    </row>
    <row r="799" ht="14.25" customHeight="1">
      <c r="J799" s="64"/>
    </row>
    <row r="800" ht="14.25" customHeight="1">
      <c r="J800" s="64"/>
    </row>
    <row r="801" ht="14.25" customHeight="1">
      <c r="J801" s="64"/>
    </row>
    <row r="802" ht="14.25" customHeight="1">
      <c r="J802" s="64"/>
    </row>
    <row r="803" ht="14.25" customHeight="1">
      <c r="J803" s="64"/>
    </row>
    <row r="804" ht="14.25" customHeight="1">
      <c r="J804" s="64"/>
    </row>
    <row r="805" ht="14.25" customHeight="1">
      <c r="J805" s="64"/>
    </row>
    <row r="806" ht="14.25" customHeight="1">
      <c r="J806" s="64"/>
    </row>
    <row r="807" ht="14.25" customHeight="1">
      <c r="J807" s="64"/>
    </row>
    <row r="808" ht="14.25" customHeight="1">
      <c r="J808" s="64"/>
    </row>
    <row r="809" ht="14.25" customHeight="1">
      <c r="J809" s="64"/>
    </row>
    <row r="810" ht="14.25" customHeight="1">
      <c r="J810" s="64"/>
    </row>
    <row r="811" ht="14.25" customHeight="1">
      <c r="J811" s="64"/>
    </row>
    <row r="812" ht="14.25" customHeight="1">
      <c r="J812" s="64"/>
    </row>
    <row r="813" ht="14.25" customHeight="1">
      <c r="J813" s="64"/>
    </row>
    <row r="814" ht="14.25" customHeight="1">
      <c r="J814" s="64"/>
    </row>
    <row r="815" ht="14.25" customHeight="1">
      <c r="J815" s="64"/>
    </row>
    <row r="816" ht="14.25" customHeight="1">
      <c r="J816" s="64"/>
    </row>
    <row r="817" ht="14.25" customHeight="1">
      <c r="J817" s="64"/>
    </row>
    <row r="818" ht="14.25" customHeight="1">
      <c r="J818" s="64"/>
    </row>
    <row r="819" ht="14.25" customHeight="1">
      <c r="J819" s="64"/>
    </row>
    <row r="820" ht="14.25" customHeight="1">
      <c r="J820" s="64"/>
    </row>
    <row r="821" ht="14.25" customHeight="1">
      <c r="J821" s="64"/>
    </row>
    <row r="822" ht="14.25" customHeight="1">
      <c r="J822" s="64"/>
    </row>
    <row r="823" ht="14.25" customHeight="1">
      <c r="J823" s="64"/>
    </row>
    <row r="824" ht="14.25" customHeight="1">
      <c r="J824" s="64"/>
    </row>
    <row r="825" ht="14.25" customHeight="1">
      <c r="J825" s="64"/>
    </row>
    <row r="826" ht="14.25" customHeight="1">
      <c r="J826" s="64"/>
    </row>
    <row r="827" ht="14.25" customHeight="1">
      <c r="J827" s="64"/>
    </row>
    <row r="828" ht="14.25" customHeight="1">
      <c r="J828" s="64"/>
    </row>
    <row r="829" ht="14.25" customHeight="1">
      <c r="J829" s="64"/>
    </row>
    <row r="830" ht="14.25" customHeight="1">
      <c r="J830" s="64"/>
    </row>
    <row r="831" ht="14.25" customHeight="1">
      <c r="J831" s="64"/>
    </row>
    <row r="832" ht="14.25" customHeight="1">
      <c r="J832" s="64"/>
    </row>
    <row r="833" ht="14.25" customHeight="1">
      <c r="J833" s="64"/>
    </row>
    <row r="834" ht="14.25" customHeight="1">
      <c r="J834" s="64"/>
    </row>
    <row r="835" ht="14.25" customHeight="1">
      <c r="J835" s="64"/>
    </row>
    <row r="836" ht="14.25" customHeight="1">
      <c r="J836" s="64"/>
    </row>
    <row r="837" ht="14.25" customHeight="1">
      <c r="J837" s="64"/>
    </row>
    <row r="838" ht="14.25" customHeight="1">
      <c r="J838" s="64"/>
    </row>
    <row r="839" ht="14.25" customHeight="1">
      <c r="J839" s="64"/>
    </row>
    <row r="840" ht="14.25" customHeight="1">
      <c r="J840" s="64"/>
    </row>
    <row r="841" ht="14.25" customHeight="1">
      <c r="J841" s="64"/>
    </row>
    <row r="842" ht="14.25" customHeight="1">
      <c r="J842" s="64"/>
    </row>
    <row r="843" ht="14.25" customHeight="1">
      <c r="J843" s="64"/>
    </row>
    <row r="844" ht="14.25" customHeight="1">
      <c r="J844" s="64"/>
    </row>
    <row r="845" ht="14.25" customHeight="1">
      <c r="J845" s="64"/>
    </row>
    <row r="846" ht="14.25" customHeight="1">
      <c r="J846" s="64"/>
    </row>
    <row r="847" ht="14.25" customHeight="1">
      <c r="J847" s="64"/>
    </row>
    <row r="848" ht="14.25" customHeight="1">
      <c r="J848" s="64"/>
    </row>
    <row r="849" ht="14.25" customHeight="1">
      <c r="J849" s="64"/>
    </row>
    <row r="850" ht="14.25" customHeight="1">
      <c r="J850" s="64"/>
    </row>
    <row r="851" ht="14.25" customHeight="1">
      <c r="J851" s="64"/>
    </row>
    <row r="852" ht="14.25" customHeight="1">
      <c r="J852" s="64"/>
    </row>
    <row r="853" ht="14.25" customHeight="1">
      <c r="J853" s="64"/>
    </row>
    <row r="854" ht="14.25" customHeight="1">
      <c r="J854" s="64"/>
    </row>
    <row r="855" ht="14.25" customHeight="1">
      <c r="J855" s="64"/>
    </row>
    <row r="856" ht="14.25" customHeight="1">
      <c r="J856" s="64"/>
    </row>
    <row r="857" ht="14.25" customHeight="1">
      <c r="J857" s="64"/>
    </row>
    <row r="858" ht="14.25" customHeight="1">
      <c r="J858" s="64"/>
    </row>
    <row r="859" ht="14.25" customHeight="1">
      <c r="J859" s="64"/>
    </row>
    <row r="860" ht="14.25" customHeight="1">
      <c r="J860" s="64"/>
    </row>
    <row r="861" ht="14.25" customHeight="1">
      <c r="J861" s="64"/>
    </row>
    <row r="862" ht="14.25" customHeight="1">
      <c r="J862" s="64"/>
    </row>
    <row r="863" ht="14.25" customHeight="1">
      <c r="J863" s="64"/>
    </row>
    <row r="864" ht="14.25" customHeight="1">
      <c r="J864" s="64"/>
    </row>
    <row r="865" ht="14.25" customHeight="1">
      <c r="J865" s="64"/>
    </row>
    <row r="866" ht="14.25" customHeight="1">
      <c r="J866" s="64"/>
    </row>
    <row r="867" ht="14.25" customHeight="1">
      <c r="J867" s="64"/>
    </row>
    <row r="868" ht="14.25" customHeight="1">
      <c r="J868" s="64"/>
    </row>
    <row r="869" ht="14.25" customHeight="1">
      <c r="J869" s="64"/>
    </row>
    <row r="870" ht="14.25" customHeight="1">
      <c r="J870" s="64"/>
    </row>
    <row r="871" ht="14.25" customHeight="1">
      <c r="J871" s="64"/>
    </row>
    <row r="872" ht="14.25" customHeight="1">
      <c r="J872" s="64"/>
    </row>
    <row r="873" ht="14.25" customHeight="1">
      <c r="J873" s="64"/>
    </row>
    <row r="874" ht="14.25" customHeight="1">
      <c r="J874" s="64"/>
    </row>
    <row r="875" ht="14.25" customHeight="1">
      <c r="J875" s="64"/>
    </row>
    <row r="876" ht="14.25" customHeight="1">
      <c r="J876" s="64"/>
    </row>
    <row r="877" ht="14.25" customHeight="1">
      <c r="J877" s="64"/>
    </row>
    <row r="878" ht="14.25" customHeight="1">
      <c r="J878" s="64"/>
    </row>
    <row r="879" ht="14.25" customHeight="1">
      <c r="J879" s="64"/>
    </row>
    <row r="880" ht="14.25" customHeight="1">
      <c r="J880" s="64"/>
    </row>
    <row r="881" ht="14.25" customHeight="1">
      <c r="J881" s="64"/>
    </row>
    <row r="882" ht="14.25" customHeight="1">
      <c r="J882" s="64"/>
    </row>
    <row r="883" ht="14.25" customHeight="1">
      <c r="J883" s="64"/>
    </row>
    <row r="884" ht="14.25" customHeight="1">
      <c r="J884" s="64"/>
    </row>
    <row r="885" ht="14.25" customHeight="1">
      <c r="J885" s="64"/>
    </row>
    <row r="886" ht="14.25" customHeight="1">
      <c r="J886" s="64"/>
    </row>
    <row r="887" ht="14.25" customHeight="1">
      <c r="J887" s="64"/>
    </row>
    <row r="888" ht="14.25" customHeight="1">
      <c r="J888" s="64"/>
    </row>
    <row r="889" ht="14.25" customHeight="1">
      <c r="J889" s="64"/>
    </row>
    <row r="890" ht="14.25" customHeight="1">
      <c r="J890" s="64"/>
    </row>
    <row r="891" ht="14.25" customHeight="1">
      <c r="J891" s="64"/>
    </row>
    <row r="892" ht="14.25" customHeight="1">
      <c r="J892" s="64"/>
    </row>
    <row r="893" ht="14.25" customHeight="1">
      <c r="J893" s="64"/>
    </row>
    <row r="894" ht="14.25" customHeight="1">
      <c r="J894" s="64"/>
    </row>
    <row r="895" ht="14.25" customHeight="1">
      <c r="J895" s="64"/>
    </row>
    <row r="896" ht="14.25" customHeight="1">
      <c r="J896" s="64"/>
    </row>
    <row r="897" ht="14.25" customHeight="1">
      <c r="J897" s="64"/>
    </row>
    <row r="898" ht="14.25" customHeight="1">
      <c r="J898" s="64"/>
    </row>
    <row r="899" ht="14.25" customHeight="1">
      <c r="J899" s="64"/>
    </row>
    <row r="900" ht="14.25" customHeight="1">
      <c r="J900" s="64"/>
    </row>
    <row r="901" ht="14.25" customHeight="1">
      <c r="J901" s="64"/>
    </row>
    <row r="902" ht="14.25" customHeight="1">
      <c r="J902" s="64"/>
    </row>
    <row r="903" ht="14.25" customHeight="1">
      <c r="J903" s="64"/>
    </row>
    <row r="904" ht="14.25" customHeight="1">
      <c r="J904" s="64"/>
    </row>
    <row r="905" ht="14.25" customHeight="1">
      <c r="J905" s="64"/>
    </row>
    <row r="906" ht="14.25" customHeight="1">
      <c r="J906" s="64"/>
    </row>
    <row r="907" ht="14.25" customHeight="1">
      <c r="J907" s="64"/>
    </row>
    <row r="908" ht="14.25" customHeight="1">
      <c r="J908" s="64"/>
    </row>
    <row r="909" ht="14.25" customHeight="1">
      <c r="J909" s="64"/>
    </row>
    <row r="910" ht="14.25" customHeight="1">
      <c r="J910" s="64"/>
    </row>
    <row r="911" ht="14.25" customHeight="1">
      <c r="J911" s="64"/>
    </row>
    <row r="912" ht="14.25" customHeight="1">
      <c r="J912" s="64"/>
    </row>
    <row r="913" ht="14.25" customHeight="1">
      <c r="J913" s="64"/>
    </row>
    <row r="914" ht="14.25" customHeight="1">
      <c r="J914" s="64"/>
    </row>
    <row r="915" ht="14.25" customHeight="1">
      <c r="J915" s="64"/>
    </row>
    <row r="916" ht="14.25" customHeight="1">
      <c r="J916" s="64"/>
    </row>
    <row r="917" ht="14.25" customHeight="1">
      <c r="J917" s="64"/>
    </row>
    <row r="918" ht="14.25" customHeight="1">
      <c r="J918" s="64"/>
    </row>
    <row r="919" ht="14.25" customHeight="1">
      <c r="J919" s="64"/>
    </row>
    <row r="920" ht="14.25" customHeight="1">
      <c r="J920" s="64"/>
    </row>
    <row r="921" ht="14.25" customHeight="1">
      <c r="J921" s="64"/>
    </row>
    <row r="922" ht="14.25" customHeight="1">
      <c r="J922" s="64"/>
    </row>
    <row r="923" ht="14.25" customHeight="1">
      <c r="J923" s="64"/>
    </row>
    <row r="924" ht="14.25" customHeight="1">
      <c r="J924" s="64"/>
    </row>
    <row r="925" ht="14.25" customHeight="1">
      <c r="J925" s="64"/>
    </row>
    <row r="926" ht="14.25" customHeight="1">
      <c r="J926" s="64"/>
    </row>
    <row r="927" ht="14.25" customHeight="1">
      <c r="J927" s="64"/>
    </row>
    <row r="928" ht="14.25" customHeight="1">
      <c r="J928" s="64"/>
    </row>
    <row r="929" ht="14.25" customHeight="1">
      <c r="J929" s="64"/>
    </row>
    <row r="930" ht="14.25" customHeight="1">
      <c r="J930" s="64"/>
    </row>
    <row r="931" ht="14.25" customHeight="1">
      <c r="J931" s="64"/>
    </row>
    <row r="932" ht="14.25" customHeight="1">
      <c r="J932" s="64"/>
    </row>
    <row r="933" ht="14.25" customHeight="1">
      <c r="J933" s="64"/>
    </row>
    <row r="934" ht="14.25" customHeight="1">
      <c r="J934" s="64"/>
    </row>
    <row r="935" ht="14.25" customHeight="1">
      <c r="J935" s="64"/>
    </row>
    <row r="936" ht="14.25" customHeight="1">
      <c r="J936" s="64"/>
    </row>
    <row r="937" ht="14.25" customHeight="1">
      <c r="J937" s="64"/>
    </row>
    <row r="938" ht="14.25" customHeight="1">
      <c r="J938" s="64"/>
    </row>
    <row r="939" ht="14.25" customHeight="1">
      <c r="J939" s="64"/>
    </row>
    <row r="940" ht="14.25" customHeight="1">
      <c r="J940" s="64"/>
    </row>
    <row r="941" ht="14.25" customHeight="1">
      <c r="J941" s="64"/>
    </row>
    <row r="942" ht="14.25" customHeight="1">
      <c r="J942" s="64"/>
    </row>
    <row r="943" ht="14.25" customHeight="1">
      <c r="J943" s="64"/>
    </row>
    <row r="944" ht="14.25" customHeight="1">
      <c r="J944" s="64"/>
    </row>
    <row r="945" ht="14.25" customHeight="1">
      <c r="J945" s="64"/>
    </row>
    <row r="946" ht="14.25" customHeight="1">
      <c r="J946" s="64"/>
    </row>
    <row r="947" ht="14.25" customHeight="1">
      <c r="J947" s="64"/>
    </row>
    <row r="948" ht="14.25" customHeight="1">
      <c r="J948" s="64"/>
    </row>
    <row r="949" ht="14.25" customHeight="1">
      <c r="J949" s="64"/>
    </row>
    <row r="950" ht="14.25" customHeight="1">
      <c r="J950" s="64"/>
    </row>
    <row r="951" ht="14.25" customHeight="1">
      <c r="J951" s="64"/>
    </row>
    <row r="952" ht="14.25" customHeight="1">
      <c r="J952" s="64"/>
    </row>
    <row r="953" ht="14.25" customHeight="1">
      <c r="J953" s="64"/>
    </row>
    <row r="954" ht="14.25" customHeight="1">
      <c r="J954" s="64"/>
    </row>
    <row r="955" ht="14.25" customHeight="1">
      <c r="J955" s="64"/>
    </row>
    <row r="956" ht="14.25" customHeight="1">
      <c r="J956" s="64"/>
    </row>
    <row r="957" ht="14.25" customHeight="1">
      <c r="J957" s="64"/>
    </row>
    <row r="958" ht="14.25" customHeight="1">
      <c r="J958" s="64"/>
    </row>
    <row r="959" ht="14.25" customHeight="1">
      <c r="J959" s="64"/>
    </row>
    <row r="960" ht="14.25" customHeight="1">
      <c r="J960" s="64"/>
    </row>
    <row r="961" ht="14.25" customHeight="1">
      <c r="J961" s="64"/>
    </row>
    <row r="962" ht="14.25" customHeight="1">
      <c r="J962" s="64"/>
    </row>
    <row r="963" ht="14.25" customHeight="1">
      <c r="J963" s="64"/>
    </row>
    <row r="964" ht="14.25" customHeight="1">
      <c r="J964" s="64"/>
    </row>
    <row r="965" ht="14.25" customHeight="1">
      <c r="J965" s="64"/>
    </row>
    <row r="966" ht="14.25" customHeight="1">
      <c r="J966" s="64"/>
    </row>
    <row r="967" ht="14.25" customHeight="1">
      <c r="J967" s="64"/>
    </row>
    <row r="968" ht="14.25" customHeight="1">
      <c r="J968" s="64"/>
    </row>
    <row r="969" ht="14.25" customHeight="1">
      <c r="J969" s="64"/>
    </row>
    <row r="970" ht="14.25" customHeight="1">
      <c r="J970" s="64"/>
    </row>
    <row r="971" ht="14.25" customHeight="1">
      <c r="J971" s="64"/>
    </row>
    <row r="972" ht="14.25" customHeight="1">
      <c r="J972" s="64"/>
    </row>
    <row r="973" ht="14.25" customHeight="1">
      <c r="J973" s="64"/>
    </row>
    <row r="974" ht="14.25" customHeight="1">
      <c r="J974" s="64"/>
    </row>
    <row r="975" ht="14.25" customHeight="1">
      <c r="J975" s="64"/>
    </row>
    <row r="976" ht="14.25" customHeight="1">
      <c r="J976" s="64"/>
    </row>
    <row r="977" ht="14.25" customHeight="1">
      <c r="J977" s="64"/>
    </row>
    <row r="978" ht="14.25" customHeight="1">
      <c r="J978" s="64"/>
    </row>
    <row r="979" ht="14.25" customHeight="1">
      <c r="J979" s="64"/>
    </row>
    <row r="980" ht="14.25" customHeight="1">
      <c r="J980" s="64"/>
    </row>
    <row r="981" ht="14.25" customHeight="1">
      <c r="J981" s="64"/>
    </row>
    <row r="982" ht="14.25" customHeight="1">
      <c r="J982" s="64"/>
    </row>
    <row r="983" ht="14.25" customHeight="1">
      <c r="J983" s="64"/>
    </row>
    <row r="984" ht="14.25" customHeight="1">
      <c r="J984" s="64"/>
    </row>
    <row r="985" ht="14.25" customHeight="1">
      <c r="J985" s="64"/>
    </row>
    <row r="986" ht="14.25" customHeight="1">
      <c r="J986" s="64"/>
    </row>
    <row r="987" ht="14.25" customHeight="1">
      <c r="J987" s="64"/>
    </row>
    <row r="988" ht="14.25" customHeight="1">
      <c r="J988" s="64"/>
    </row>
    <row r="989" ht="14.25" customHeight="1">
      <c r="J989" s="64"/>
    </row>
    <row r="990" ht="14.25" customHeight="1">
      <c r="J990" s="64"/>
    </row>
    <row r="991" ht="14.25" customHeight="1">
      <c r="J991" s="64"/>
    </row>
    <row r="992" ht="14.25" customHeight="1">
      <c r="J992" s="64"/>
    </row>
    <row r="993" ht="14.25" customHeight="1">
      <c r="J993" s="64"/>
    </row>
    <row r="994" ht="14.25" customHeight="1">
      <c r="J994" s="64"/>
    </row>
    <row r="995" ht="14.25" customHeight="1">
      <c r="J995" s="64"/>
    </row>
    <row r="996" ht="14.25" customHeight="1">
      <c r="J996" s="64"/>
    </row>
    <row r="997" ht="14.25" customHeight="1">
      <c r="J997" s="64"/>
    </row>
    <row r="998" ht="14.25" customHeight="1">
      <c r="J998" s="64"/>
    </row>
    <row r="999" ht="14.25" customHeight="1">
      <c r="J999" s="64"/>
    </row>
    <row r="1000" ht="14.25" customHeight="1">
      <c r="J1000" s="64"/>
    </row>
    <row r="1001" ht="14.25" customHeight="1">
      <c r="J1001" s="64"/>
    </row>
    <row r="1002" ht="14.25" customHeight="1">
      <c r="J1002" s="64"/>
    </row>
    <row r="1003" ht="14.25" customHeight="1">
      <c r="J1003" s="64"/>
    </row>
    <row r="1004" ht="14.25" customHeight="1">
      <c r="J1004" s="64"/>
    </row>
    <row r="1005" ht="14.25" customHeight="1">
      <c r="J1005" s="64"/>
    </row>
    <row r="1006" ht="14.25" customHeight="1">
      <c r="J1006" s="64"/>
    </row>
  </sheetData>
  <autoFilter ref="$A$1:$AC$56"/>
  <dataValidations>
    <dataValidation type="list" allowBlank="1" showErrorMessage="1" sqref="E2:E109">
      <formula1>Ventas!$K$1:$K$3</formula1>
    </dataValidation>
    <dataValidation type="list" allowBlank="1" showErrorMessage="1" sqref="B2:B109">
      <formula1>$I$2:$I$16</formula1>
    </dataValidation>
  </dataValidations>
  <hyperlinks>
    <hyperlink r:id="rId1" ref="D48"/>
    <hyperlink r:id="rId2" ref="D49"/>
  </hyperlinks>
  <printOptions/>
  <pageMargins bottom="1.0" footer="0.0" header="0.0" left="0.75" right="0.75" top="1.0"/>
  <pageSetup paperSize="9" orientation="portrait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2" width="21.29"/>
    <col customWidth="1" min="3" max="3" width="57.29"/>
    <col customWidth="1" min="4" max="4" width="19.0"/>
    <col customWidth="1" min="5" max="5" width="20.29"/>
    <col customWidth="1" min="6" max="6" width="14.86"/>
    <col customWidth="1" min="7" max="7" width="21.57"/>
    <col customWidth="1" min="8" max="8" width="16.86"/>
    <col customWidth="1" min="9" max="9" width="92.29"/>
    <col customWidth="1" min="10" max="11" width="8.71"/>
    <col customWidth="1" min="12" max="12" width="10.0"/>
    <col customWidth="1" min="13" max="13" width="9.57"/>
    <col customWidth="1" min="14" max="16" width="8.71"/>
    <col customWidth="1" min="17" max="17" width="62.14"/>
    <col customWidth="1" min="18" max="26" width="8.71"/>
  </cols>
  <sheetData>
    <row r="1" ht="14.25" customHeight="1">
      <c r="A1" s="77" t="s">
        <v>483</v>
      </c>
      <c r="B1" s="77" t="s">
        <v>484</v>
      </c>
      <c r="C1" s="77" t="s">
        <v>428</v>
      </c>
      <c r="D1" s="77" t="s">
        <v>485</v>
      </c>
      <c r="E1" s="77" t="s">
        <v>486</v>
      </c>
      <c r="F1" s="77" t="s">
        <v>487</v>
      </c>
      <c r="G1" s="77" t="s">
        <v>488</v>
      </c>
      <c r="H1" s="77" t="s">
        <v>489</v>
      </c>
      <c r="I1" s="77" t="s">
        <v>191</v>
      </c>
      <c r="L1" s="2" t="s">
        <v>490</v>
      </c>
      <c r="M1" s="78">
        <f t="shared" ref="M1:M3" si="1">SUMIF($G$2:$G$15,L1,$F$2:$F$15)</f>
        <v>9618000</v>
      </c>
      <c r="Q1" s="79" t="s">
        <v>491</v>
      </c>
      <c r="R1" s="80"/>
    </row>
    <row r="2" ht="14.25" customHeight="1">
      <c r="A2" s="81">
        <v>45692.0</v>
      </c>
      <c r="B2" s="82" t="s">
        <v>492</v>
      </c>
      <c r="C2" s="83" t="s">
        <v>493</v>
      </c>
      <c r="D2" s="83">
        <v>2.0</v>
      </c>
      <c r="E2" s="84">
        <v>120000.0</v>
      </c>
      <c r="F2" s="85">
        <f t="shared" ref="F2:F14" si="2">D2*E2</f>
        <v>240000</v>
      </c>
      <c r="G2" s="83" t="s">
        <v>494</v>
      </c>
      <c r="H2" s="86">
        <v>46057.0</v>
      </c>
      <c r="I2" s="83" t="s">
        <v>495</v>
      </c>
      <c r="L2" s="2" t="s">
        <v>494</v>
      </c>
      <c r="M2" s="78">
        <f t="shared" si="1"/>
        <v>240000</v>
      </c>
      <c r="Q2" s="87" t="s">
        <v>496</v>
      </c>
      <c r="R2" s="88" t="s">
        <v>497</v>
      </c>
    </row>
    <row r="3" ht="14.25" customHeight="1">
      <c r="A3" s="81">
        <v>45692.0</v>
      </c>
      <c r="B3" s="82" t="s">
        <v>492</v>
      </c>
      <c r="C3" s="83" t="s">
        <v>498</v>
      </c>
      <c r="D3" s="83">
        <v>4.0</v>
      </c>
      <c r="E3" s="84">
        <v>90000.0</v>
      </c>
      <c r="F3" s="85">
        <f t="shared" si="2"/>
        <v>360000</v>
      </c>
      <c r="G3" s="83" t="s">
        <v>490</v>
      </c>
      <c r="H3" s="89"/>
      <c r="I3" s="83" t="s">
        <v>499</v>
      </c>
      <c r="L3" s="79" t="s">
        <v>402</v>
      </c>
      <c r="M3" s="78">
        <f t="shared" si="1"/>
        <v>0</v>
      </c>
      <c r="Q3" s="23" t="s">
        <v>500</v>
      </c>
      <c r="R3" s="9">
        <v>32000.0</v>
      </c>
    </row>
    <row r="4" ht="14.25" customHeight="1">
      <c r="A4" s="90">
        <v>46062.0</v>
      </c>
      <c r="B4" s="82" t="s">
        <v>492</v>
      </c>
      <c r="C4" s="83" t="s">
        <v>501</v>
      </c>
      <c r="D4" s="83">
        <v>10.0</v>
      </c>
      <c r="E4" s="84">
        <v>120000.0</v>
      </c>
      <c r="F4" s="85">
        <f t="shared" si="2"/>
        <v>1200000</v>
      </c>
      <c r="G4" s="83" t="s">
        <v>490</v>
      </c>
      <c r="H4" s="89"/>
      <c r="I4" s="83" t="s">
        <v>502</v>
      </c>
      <c r="L4" s="91"/>
      <c r="M4" s="78"/>
      <c r="Q4" s="23" t="s">
        <v>503</v>
      </c>
      <c r="R4" s="9">
        <v>35000.0</v>
      </c>
    </row>
    <row r="5" ht="14.25" customHeight="1">
      <c r="A5" s="90">
        <v>46062.0</v>
      </c>
      <c r="B5" s="82" t="s">
        <v>492</v>
      </c>
      <c r="C5" s="83" t="s">
        <v>504</v>
      </c>
      <c r="D5" s="83">
        <v>30.0</v>
      </c>
      <c r="E5" s="84">
        <v>37000.0</v>
      </c>
      <c r="F5" s="85">
        <f t="shared" si="2"/>
        <v>1110000</v>
      </c>
      <c r="G5" s="83" t="s">
        <v>490</v>
      </c>
      <c r="H5" s="89"/>
      <c r="I5" s="83" t="s">
        <v>505</v>
      </c>
      <c r="L5" s="91"/>
      <c r="M5" s="78"/>
      <c r="Q5" s="8" t="s">
        <v>506</v>
      </c>
      <c r="R5" s="9">
        <v>50000.0</v>
      </c>
    </row>
    <row r="6" ht="14.25" customHeight="1">
      <c r="A6" s="90">
        <v>46056.0</v>
      </c>
      <c r="B6" s="83" t="s">
        <v>507</v>
      </c>
      <c r="C6" s="83" t="s">
        <v>508</v>
      </c>
      <c r="D6" s="83">
        <v>8.0</v>
      </c>
      <c r="E6" s="84">
        <v>60000.0</v>
      </c>
      <c r="F6" s="85">
        <f t="shared" si="2"/>
        <v>480000</v>
      </c>
      <c r="G6" s="83" t="s">
        <v>490</v>
      </c>
      <c r="H6" s="89"/>
      <c r="I6" s="82"/>
      <c r="L6" s="91"/>
      <c r="M6" s="78"/>
      <c r="Q6" s="8" t="s">
        <v>509</v>
      </c>
      <c r="R6" s="9">
        <v>55000.0</v>
      </c>
    </row>
    <row r="7" ht="14.25" customHeight="1">
      <c r="A7" s="90">
        <v>46056.0</v>
      </c>
      <c r="B7" s="83" t="s">
        <v>507</v>
      </c>
      <c r="C7" s="83" t="s">
        <v>510</v>
      </c>
      <c r="D7" s="83">
        <v>22.0</v>
      </c>
      <c r="E7" s="84">
        <v>54000.0</v>
      </c>
      <c r="F7" s="85">
        <f t="shared" si="2"/>
        <v>1188000</v>
      </c>
      <c r="G7" s="83" t="s">
        <v>490</v>
      </c>
      <c r="H7" s="89"/>
      <c r="I7" s="82"/>
      <c r="L7" s="91"/>
      <c r="M7" s="78"/>
      <c r="Q7" s="23" t="s">
        <v>511</v>
      </c>
      <c r="R7" s="9">
        <v>45000.0</v>
      </c>
    </row>
    <row r="8" ht="14.25" customHeight="1">
      <c r="A8" s="90">
        <v>46067.0</v>
      </c>
      <c r="B8" s="83" t="s">
        <v>496</v>
      </c>
      <c r="C8" s="83" t="s">
        <v>512</v>
      </c>
      <c r="D8" s="83">
        <v>36.0</v>
      </c>
      <c r="E8" s="84">
        <v>40000.0</v>
      </c>
      <c r="F8" s="85">
        <f t="shared" si="2"/>
        <v>1440000</v>
      </c>
      <c r="G8" s="83" t="s">
        <v>490</v>
      </c>
      <c r="H8" s="89"/>
      <c r="I8" s="83" t="s">
        <v>513</v>
      </c>
      <c r="L8" s="91"/>
      <c r="M8" s="78"/>
      <c r="Q8" s="23" t="s">
        <v>514</v>
      </c>
      <c r="R8" s="9">
        <v>55000.0</v>
      </c>
    </row>
    <row r="9" ht="14.25" customHeight="1">
      <c r="A9" s="90">
        <v>46067.0</v>
      </c>
      <c r="B9" s="83" t="s">
        <v>496</v>
      </c>
      <c r="C9" s="83" t="s">
        <v>515</v>
      </c>
      <c r="D9" s="83">
        <v>12.0</v>
      </c>
      <c r="E9" s="92">
        <v>45000.0</v>
      </c>
      <c r="F9" s="85">
        <f t="shared" si="2"/>
        <v>540000</v>
      </c>
      <c r="G9" s="83" t="s">
        <v>490</v>
      </c>
      <c r="H9" s="89"/>
      <c r="I9" s="83" t="s">
        <v>516</v>
      </c>
      <c r="L9" s="91"/>
      <c r="M9" s="78"/>
      <c r="Q9" s="23" t="s">
        <v>517</v>
      </c>
      <c r="R9" s="9">
        <v>55000.0</v>
      </c>
    </row>
    <row r="10" ht="14.25" customHeight="1">
      <c r="A10" s="90">
        <v>46067.0</v>
      </c>
      <c r="B10" s="83" t="s">
        <v>496</v>
      </c>
      <c r="C10" s="83" t="s">
        <v>518</v>
      </c>
      <c r="D10" s="83">
        <v>12.0</v>
      </c>
      <c r="E10" s="92">
        <v>55000.0</v>
      </c>
      <c r="F10" s="85">
        <f t="shared" si="2"/>
        <v>660000</v>
      </c>
      <c r="G10" s="83" t="s">
        <v>490</v>
      </c>
      <c r="H10" s="89"/>
      <c r="I10" s="83" t="s">
        <v>519</v>
      </c>
      <c r="L10" s="91"/>
      <c r="M10" s="78"/>
      <c r="Q10" s="23" t="s">
        <v>520</v>
      </c>
      <c r="R10" s="9">
        <v>75000.0</v>
      </c>
    </row>
    <row r="11" ht="14.25" customHeight="1">
      <c r="A11" s="90">
        <v>46067.0</v>
      </c>
      <c r="B11" s="83" t="s">
        <v>496</v>
      </c>
      <c r="C11" s="83" t="s">
        <v>514</v>
      </c>
      <c r="D11" s="83">
        <v>24.0</v>
      </c>
      <c r="E11" s="92">
        <v>55000.0</v>
      </c>
      <c r="F11" s="85">
        <f t="shared" si="2"/>
        <v>1320000</v>
      </c>
      <c r="G11" s="83" t="s">
        <v>490</v>
      </c>
      <c r="H11" s="89"/>
      <c r="I11" s="83" t="s">
        <v>521</v>
      </c>
      <c r="L11" s="91"/>
      <c r="M11" s="78"/>
      <c r="Q11" s="23" t="s">
        <v>522</v>
      </c>
      <c r="R11" s="9">
        <v>40000.0</v>
      </c>
    </row>
    <row r="12" ht="14.25" customHeight="1">
      <c r="A12" s="90">
        <v>46067.0</v>
      </c>
      <c r="B12" s="83" t="s">
        <v>496</v>
      </c>
      <c r="C12" s="83" t="s">
        <v>523</v>
      </c>
      <c r="D12" s="83">
        <v>24.0</v>
      </c>
      <c r="E12" s="92">
        <v>55000.0</v>
      </c>
      <c r="F12" s="85">
        <f t="shared" si="2"/>
        <v>1320000</v>
      </c>
      <c r="G12" s="83" t="s">
        <v>490</v>
      </c>
      <c r="H12" s="89"/>
      <c r="I12" s="83" t="s">
        <v>524</v>
      </c>
      <c r="L12" s="91"/>
      <c r="M12" s="78"/>
      <c r="Q12" s="23" t="s">
        <v>525</v>
      </c>
      <c r="R12" s="9">
        <v>32000.0</v>
      </c>
    </row>
    <row r="13" ht="14.25" customHeight="1">
      <c r="A13" s="86"/>
      <c r="B13" s="82"/>
      <c r="C13" s="82"/>
      <c r="D13" s="82"/>
      <c r="E13" s="85"/>
      <c r="F13" s="85">
        <f t="shared" si="2"/>
        <v>0</v>
      </c>
      <c r="G13" s="82"/>
      <c r="H13" s="86"/>
      <c r="I13" s="82"/>
      <c r="L13" s="91"/>
      <c r="M13" s="78"/>
      <c r="Q13" s="23" t="s">
        <v>526</v>
      </c>
      <c r="R13" s="9">
        <v>50000.0</v>
      </c>
    </row>
    <row r="14" ht="14.25" customHeight="1">
      <c r="A14" s="86"/>
      <c r="B14" s="82"/>
      <c r="C14" s="82"/>
      <c r="D14" s="82"/>
      <c r="E14" s="85"/>
      <c r="F14" s="85">
        <f t="shared" si="2"/>
        <v>0</v>
      </c>
      <c r="G14" s="82"/>
      <c r="H14" s="86"/>
      <c r="I14" s="82"/>
      <c r="L14" s="91"/>
      <c r="M14" s="78"/>
      <c r="R14" s="78"/>
    </row>
    <row r="15" ht="14.25" customHeight="1">
      <c r="A15" s="86"/>
      <c r="B15" s="82"/>
      <c r="C15" s="82"/>
      <c r="D15" s="82"/>
      <c r="E15" s="85"/>
      <c r="F15" s="85"/>
      <c r="G15" s="82"/>
      <c r="H15" s="86"/>
      <c r="I15" s="82"/>
      <c r="L15" s="91"/>
      <c r="M15" s="78"/>
      <c r="Q15" s="79" t="s">
        <v>527</v>
      </c>
      <c r="R15" s="78"/>
    </row>
    <row r="16" ht="14.25" customHeight="1">
      <c r="A16" s="93" t="s">
        <v>528</v>
      </c>
      <c r="B16" s="82"/>
      <c r="C16" s="82"/>
      <c r="D16" s="82">
        <f>SUM(D2:D14)</f>
        <v>184</v>
      </c>
      <c r="E16" s="85"/>
      <c r="F16" s="85">
        <f>SUM(F2:F14)</f>
        <v>9858000</v>
      </c>
      <c r="G16" s="82"/>
      <c r="H16" s="86"/>
      <c r="I16" s="82"/>
      <c r="L16" s="91"/>
      <c r="M16" s="78"/>
      <c r="Q16" s="8" t="s">
        <v>529</v>
      </c>
      <c r="R16" s="9">
        <v>600.0</v>
      </c>
    </row>
    <row r="17" ht="14.25" customHeight="1">
      <c r="L17" s="91"/>
      <c r="M17" s="78"/>
      <c r="Q17" s="8" t="s">
        <v>530</v>
      </c>
      <c r="R17" s="9">
        <v>150.0</v>
      </c>
    </row>
    <row r="18" ht="14.25" customHeight="1">
      <c r="L18" s="91"/>
      <c r="M18" s="78"/>
      <c r="Q18" s="8"/>
      <c r="R18" s="13"/>
    </row>
    <row r="19" ht="14.25" customHeight="1">
      <c r="L19" s="91"/>
      <c r="M19" s="78"/>
      <c r="Q19" s="8"/>
      <c r="R19" s="13"/>
    </row>
    <row r="20" ht="14.25" customHeight="1">
      <c r="L20" s="91"/>
      <c r="M20" s="78"/>
      <c r="Q20" s="8"/>
      <c r="R20" s="13"/>
    </row>
    <row r="21" ht="14.25" customHeight="1">
      <c r="L21" s="91"/>
      <c r="M21" s="78"/>
      <c r="Q21" s="8"/>
      <c r="R21" s="13"/>
    </row>
    <row r="22" ht="14.25" customHeight="1">
      <c r="L22" s="91"/>
      <c r="M22" s="78"/>
      <c r="R22" s="78"/>
    </row>
    <row r="23" ht="14.25" customHeight="1">
      <c r="L23" s="91"/>
      <c r="M23" s="78"/>
      <c r="R23" s="78"/>
    </row>
    <row r="24" ht="14.25" customHeight="1">
      <c r="L24" s="91"/>
      <c r="M24" s="78"/>
      <c r="R24" s="78"/>
    </row>
    <row r="25" ht="14.25" customHeight="1">
      <c r="L25" s="91"/>
      <c r="M25" s="78"/>
      <c r="R25" s="78"/>
    </row>
    <row r="26" ht="14.25" customHeight="1">
      <c r="L26" s="91"/>
      <c r="M26" s="78"/>
      <c r="R26" s="78"/>
    </row>
    <row r="27" ht="14.25" customHeight="1">
      <c r="L27" s="91"/>
      <c r="M27" s="78"/>
      <c r="R27" s="78"/>
    </row>
    <row r="28" ht="14.25" customHeight="1">
      <c r="L28" s="91"/>
      <c r="M28" s="78"/>
      <c r="R28" s="78"/>
    </row>
    <row r="29" ht="14.25" customHeight="1">
      <c r="L29" s="91"/>
      <c r="M29" s="78"/>
      <c r="R29" s="78"/>
    </row>
    <row r="30" ht="14.25" customHeight="1">
      <c r="L30" s="91"/>
      <c r="M30" s="78"/>
      <c r="R30" s="78"/>
    </row>
    <row r="31" ht="14.25" customHeight="1">
      <c r="L31" s="91"/>
      <c r="M31" s="78"/>
      <c r="R31" s="78"/>
    </row>
    <row r="32" ht="14.25" customHeight="1">
      <c r="L32" s="91"/>
      <c r="M32" s="78"/>
      <c r="R32" s="78"/>
    </row>
    <row r="33" ht="14.25" customHeight="1">
      <c r="L33" s="91"/>
      <c r="M33" s="78"/>
      <c r="R33" s="78"/>
    </row>
    <row r="34" ht="14.25" customHeight="1">
      <c r="L34" s="91"/>
      <c r="M34" s="78"/>
      <c r="R34" s="78"/>
    </row>
    <row r="35" ht="14.25" customHeight="1">
      <c r="L35" s="91"/>
      <c r="M35" s="78"/>
      <c r="R35" s="78"/>
    </row>
    <row r="36" ht="14.25" customHeight="1">
      <c r="L36" s="91"/>
      <c r="M36" s="78"/>
      <c r="R36" s="78"/>
    </row>
    <row r="37" ht="14.25" customHeight="1">
      <c r="L37" s="91"/>
      <c r="M37" s="78"/>
      <c r="R37" s="78"/>
    </row>
    <row r="38" ht="14.25" customHeight="1">
      <c r="L38" s="91"/>
      <c r="M38" s="78"/>
      <c r="R38" s="78"/>
    </row>
    <row r="39" ht="14.25" customHeight="1">
      <c r="L39" s="91"/>
      <c r="M39" s="78"/>
      <c r="R39" s="78"/>
    </row>
    <row r="40" ht="14.25" customHeight="1">
      <c r="L40" s="91"/>
      <c r="M40" s="78"/>
      <c r="R40" s="78"/>
    </row>
    <row r="41" ht="14.25" customHeight="1">
      <c r="L41" s="91"/>
      <c r="M41" s="78"/>
      <c r="R41" s="78"/>
    </row>
    <row r="42" ht="14.25" customHeight="1">
      <c r="L42" s="91"/>
      <c r="M42" s="78"/>
      <c r="R42" s="78"/>
    </row>
    <row r="43" ht="14.25" customHeight="1">
      <c r="L43" s="91"/>
      <c r="M43" s="78"/>
      <c r="R43" s="78"/>
    </row>
    <row r="44" ht="14.25" customHeight="1">
      <c r="L44" s="91"/>
      <c r="M44" s="78"/>
      <c r="R44" s="78"/>
    </row>
    <row r="45" ht="14.25" customHeight="1">
      <c r="L45" s="91"/>
      <c r="M45" s="78"/>
      <c r="R45" s="78"/>
    </row>
    <row r="46" ht="14.25" customHeight="1">
      <c r="L46" s="91"/>
      <c r="M46" s="78"/>
      <c r="R46" s="78"/>
    </row>
    <row r="47" ht="14.25" customHeight="1">
      <c r="L47" s="91"/>
      <c r="M47" s="78"/>
      <c r="R47" s="78"/>
    </row>
    <row r="48" ht="14.25" customHeight="1">
      <c r="L48" s="91"/>
      <c r="M48" s="78"/>
      <c r="R48" s="78"/>
    </row>
    <row r="49" ht="14.25" customHeight="1">
      <c r="L49" s="91"/>
      <c r="M49" s="78"/>
      <c r="R49" s="78"/>
    </row>
    <row r="50" ht="14.25" customHeight="1">
      <c r="L50" s="91"/>
      <c r="M50" s="78"/>
      <c r="R50" s="78"/>
    </row>
    <row r="51" ht="14.25" customHeight="1">
      <c r="L51" s="91"/>
      <c r="M51" s="78"/>
      <c r="R51" s="78"/>
    </row>
    <row r="52" ht="14.25" customHeight="1">
      <c r="L52" s="91"/>
      <c r="M52" s="78"/>
      <c r="R52" s="78"/>
    </row>
    <row r="53" ht="14.25" customHeight="1">
      <c r="L53" s="91"/>
      <c r="M53" s="78"/>
      <c r="R53" s="78"/>
    </row>
    <row r="54" ht="14.25" customHeight="1">
      <c r="L54" s="91"/>
      <c r="M54" s="78"/>
      <c r="R54" s="78"/>
    </row>
    <row r="55" ht="14.25" customHeight="1">
      <c r="L55" s="91"/>
      <c r="M55" s="78"/>
      <c r="R55" s="78"/>
    </row>
    <row r="56" ht="14.25" customHeight="1">
      <c r="L56" s="91"/>
      <c r="M56" s="78"/>
      <c r="R56" s="78"/>
    </row>
    <row r="57" ht="14.25" customHeight="1">
      <c r="L57" s="91"/>
      <c r="M57" s="78"/>
      <c r="R57" s="78"/>
    </row>
    <row r="58" ht="14.25" customHeight="1">
      <c r="L58" s="91"/>
      <c r="M58" s="78"/>
      <c r="R58" s="78"/>
    </row>
    <row r="59" ht="14.25" customHeight="1">
      <c r="L59" s="91"/>
      <c r="M59" s="78"/>
      <c r="R59" s="78"/>
    </row>
    <row r="60" ht="14.25" customHeight="1">
      <c r="L60" s="91"/>
      <c r="M60" s="78"/>
      <c r="R60" s="78"/>
    </row>
    <row r="61" ht="14.25" customHeight="1">
      <c r="L61" s="91"/>
      <c r="M61" s="78"/>
      <c r="R61" s="78"/>
    </row>
    <row r="62" ht="14.25" customHeight="1">
      <c r="L62" s="91"/>
      <c r="M62" s="78"/>
      <c r="R62" s="78"/>
    </row>
    <row r="63" ht="14.25" customHeight="1">
      <c r="L63" s="91"/>
      <c r="M63" s="78"/>
      <c r="R63" s="78"/>
    </row>
    <row r="64" ht="14.25" customHeight="1">
      <c r="L64" s="91"/>
      <c r="M64" s="78"/>
      <c r="R64" s="78"/>
    </row>
    <row r="65" ht="14.25" customHeight="1">
      <c r="L65" s="91"/>
      <c r="M65" s="78"/>
      <c r="R65" s="78"/>
    </row>
    <row r="66" ht="14.25" customHeight="1">
      <c r="L66" s="91"/>
      <c r="M66" s="78"/>
      <c r="R66" s="78"/>
    </row>
    <row r="67" ht="14.25" customHeight="1">
      <c r="L67" s="91"/>
      <c r="M67" s="78"/>
      <c r="R67" s="78"/>
    </row>
    <row r="68" ht="14.25" customHeight="1">
      <c r="L68" s="91"/>
      <c r="M68" s="78"/>
      <c r="R68" s="78"/>
    </row>
    <row r="69" ht="14.25" customHeight="1">
      <c r="L69" s="91"/>
      <c r="M69" s="78"/>
      <c r="R69" s="78"/>
    </row>
    <row r="70" ht="14.25" customHeight="1">
      <c r="L70" s="91"/>
      <c r="M70" s="78"/>
      <c r="R70" s="78"/>
    </row>
    <row r="71" ht="14.25" customHeight="1">
      <c r="L71" s="91"/>
      <c r="M71" s="78"/>
      <c r="R71" s="78"/>
    </row>
    <row r="72" ht="14.25" customHeight="1">
      <c r="L72" s="91"/>
      <c r="M72" s="78"/>
      <c r="R72" s="78"/>
    </row>
    <row r="73" ht="14.25" customHeight="1">
      <c r="L73" s="91"/>
      <c r="M73" s="78"/>
      <c r="R73" s="78"/>
    </row>
    <row r="74" ht="14.25" customHeight="1">
      <c r="L74" s="91"/>
      <c r="M74" s="78"/>
      <c r="R74" s="78"/>
    </row>
    <row r="75" ht="14.25" customHeight="1">
      <c r="L75" s="91"/>
      <c r="M75" s="78"/>
      <c r="R75" s="78"/>
    </row>
    <row r="76" ht="14.25" customHeight="1">
      <c r="L76" s="91"/>
      <c r="M76" s="78"/>
      <c r="R76" s="78"/>
    </row>
    <row r="77" ht="14.25" customHeight="1">
      <c r="L77" s="91"/>
      <c r="M77" s="78"/>
      <c r="R77" s="78"/>
    </row>
    <row r="78" ht="14.25" customHeight="1">
      <c r="L78" s="91"/>
      <c r="M78" s="78"/>
      <c r="R78" s="78"/>
    </row>
    <row r="79" ht="14.25" customHeight="1">
      <c r="L79" s="91"/>
      <c r="M79" s="78"/>
      <c r="R79" s="78"/>
    </row>
    <row r="80" ht="14.25" customHeight="1">
      <c r="L80" s="91"/>
      <c r="M80" s="78"/>
      <c r="R80" s="78"/>
    </row>
    <row r="81" ht="14.25" customHeight="1">
      <c r="L81" s="91"/>
      <c r="M81" s="78"/>
      <c r="R81" s="78"/>
    </row>
    <row r="82" ht="14.25" customHeight="1">
      <c r="L82" s="91"/>
      <c r="M82" s="78"/>
      <c r="R82" s="78"/>
    </row>
    <row r="83" ht="14.25" customHeight="1">
      <c r="L83" s="91"/>
      <c r="M83" s="78"/>
      <c r="R83" s="78"/>
    </row>
    <row r="84" ht="14.25" customHeight="1">
      <c r="L84" s="91"/>
      <c r="M84" s="78"/>
      <c r="R84" s="78"/>
    </row>
    <row r="85" ht="14.25" customHeight="1">
      <c r="L85" s="91"/>
      <c r="M85" s="78"/>
      <c r="R85" s="78"/>
    </row>
    <row r="86" ht="14.25" customHeight="1">
      <c r="L86" s="91"/>
      <c r="M86" s="78"/>
      <c r="R86" s="78"/>
    </row>
    <row r="87" ht="14.25" customHeight="1">
      <c r="L87" s="91"/>
      <c r="M87" s="78"/>
      <c r="R87" s="78"/>
    </row>
    <row r="88" ht="14.25" customHeight="1">
      <c r="L88" s="91"/>
      <c r="M88" s="78"/>
      <c r="R88" s="78"/>
    </row>
    <row r="89" ht="14.25" customHeight="1">
      <c r="L89" s="91"/>
      <c r="M89" s="78"/>
      <c r="R89" s="78"/>
    </row>
    <row r="90" ht="14.25" customHeight="1">
      <c r="L90" s="91"/>
      <c r="M90" s="78"/>
      <c r="R90" s="78"/>
    </row>
    <row r="91" ht="14.25" customHeight="1">
      <c r="L91" s="91"/>
      <c r="M91" s="78"/>
      <c r="R91" s="78"/>
    </row>
    <row r="92" ht="14.25" customHeight="1">
      <c r="L92" s="91"/>
      <c r="M92" s="78"/>
      <c r="R92" s="78"/>
    </row>
    <row r="93" ht="14.25" customHeight="1">
      <c r="L93" s="91"/>
      <c r="M93" s="78"/>
      <c r="R93" s="78"/>
    </row>
    <row r="94" ht="14.25" customHeight="1">
      <c r="L94" s="91"/>
      <c r="M94" s="78"/>
      <c r="R94" s="78"/>
    </row>
    <row r="95" ht="14.25" customHeight="1">
      <c r="L95" s="91"/>
      <c r="M95" s="78"/>
      <c r="R95" s="78"/>
    </row>
    <row r="96" ht="14.25" customHeight="1">
      <c r="L96" s="91"/>
      <c r="M96" s="78"/>
      <c r="R96" s="78"/>
    </row>
    <row r="97" ht="14.25" customHeight="1">
      <c r="L97" s="91"/>
      <c r="M97" s="78"/>
      <c r="R97" s="78"/>
    </row>
    <row r="98" ht="14.25" customHeight="1">
      <c r="L98" s="91"/>
      <c r="M98" s="78"/>
      <c r="R98" s="78"/>
    </row>
    <row r="99" ht="14.25" customHeight="1">
      <c r="L99" s="91"/>
      <c r="M99" s="78"/>
      <c r="R99" s="78"/>
    </row>
    <row r="100" ht="14.25" customHeight="1">
      <c r="L100" s="91"/>
      <c r="M100" s="78"/>
      <c r="R100" s="78"/>
    </row>
    <row r="101" ht="14.25" customHeight="1">
      <c r="L101" s="91"/>
      <c r="M101" s="78"/>
      <c r="R101" s="78"/>
    </row>
    <row r="102" ht="14.25" customHeight="1">
      <c r="L102" s="91"/>
      <c r="M102" s="78"/>
      <c r="R102" s="78"/>
    </row>
    <row r="103" ht="14.25" customHeight="1">
      <c r="L103" s="91"/>
      <c r="M103" s="78"/>
      <c r="R103" s="78"/>
    </row>
    <row r="104" ht="14.25" customHeight="1">
      <c r="L104" s="91"/>
      <c r="M104" s="78"/>
      <c r="R104" s="78"/>
    </row>
    <row r="105" ht="14.25" customHeight="1">
      <c r="L105" s="91"/>
      <c r="M105" s="78"/>
      <c r="R105" s="78"/>
    </row>
    <row r="106" ht="14.25" customHeight="1">
      <c r="L106" s="91"/>
      <c r="M106" s="78"/>
      <c r="R106" s="78"/>
    </row>
    <row r="107" ht="14.25" customHeight="1">
      <c r="L107" s="91"/>
      <c r="M107" s="78"/>
      <c r="R107" s="78"/>
    </row>
    <row r="108" ht="14.25" customHeight="1">
      <c r="L108" s="91"/>
      <c r="M108" s="78"/>
      <c r="R108" s="78"/>
    </row>
    <row r="109" ht="14.25" customHeight="1">
      <c r="L109" s="91"/>
      <c r="M109" s="78"/>
      <c r="R109" s="78"/>
    </row>
    <row r="110" ht="14.25" customHeight="1">
      <c r="L110" s="91"/>
      <c r="M110" s="78"/>
      <c r="R110" s="78"/>
    </row>
    <row r="111" ht="14.25" customHeight="1">
      <c r="L111" s="91"/>
      <c r="M111" s="78"/>
      <c r="R111" s="78"/>
    </row>
    <row r="112" ht="14.25" customHeight="1">
      <c r="L112" s="91"/>
      <c r="M112" s="78"/>
      <c r="R112" s="78"/>
    </row>
    <row r="113" ht="14.25" customHeight="1">
      <c r="L113" s="91"/>
      <c r="M113" s="78"/>
      <c r="R113" s="78"/>
    </row>
    <row r="114" ht="14.25" customHeight="1">
      <c r="L114" s="91"/>
      <c r="M114" s="78"/>
      <c r="R114" s="78"/>
    </row>
    <row r="115" ht="14.25" customHeight="1">
      <c r="L115" s="91"/>
      <c r="M115" s="78"/>
      <c r="R115" s="78"/>
    </row>
    <row r="116" ht="14.25" customHeight="1">
      <c r="L116" s="91"/>
      <c r="M116" s="78"/>
      <c r="R116" s="78"/>
    </row>
    <row r="117" ht="14.25" customHeight="1">
      <c r="L117" s="91"/>
      <c r="M117" s="78"/>
      <c r="R117" s="78"/>
    </row>
    <row r="118" ht="14.25" customHeight="1">
      <c r="L118" s="91"/>
      <c r="M118" s="78"/>
      <c r="R118" s="78"/>
    </row>
    <row r="119" ht="14.25" customHeight="1">
      <c r="L119" s="91"/>
      <c r="M119" s="78"/>
      <c r="R119" s="78"/>
    </row>
    <row r="120" ht="14.25" customHeight="1">
      <c r="L120" s="91"/>
      <c r="M120" s="78"/>
      <c r="R120" s="78"/>
    </row>
    <row r="121" ht="14.25" customHeight="1">
      <c r="L121" s="91"/>
      <c r="M121" s="78"/>
      <c r="R121" s="78"/>
    </row>
    <row r="122" ht="14.25" customHeight="1">
      <c r="L122" s="91"/>
      <c r="M122" s="78"/>
      <c r="R122" s="78"/>
    </row>
    <row r="123" ht="14.25" customHeight="1">
      <c r="L123" s="91"/>
      <c r="M123" s="78"/>
      <c r="R123" s="78"/>
    </row>
    <row r="124" ht="14.25" customHeight="1">
      <c r="L124" s="91"/>
      <c r="M124" s="78"/>
      <c r="R124" s="78"/>
    </row>
    <row r="125" ht="14.25" customHeight="1">
      <c r="L125" s="91"/>
      <c r="M125" s="78"/>
      <c r="R125" s="78"/>
    </row>
    <row r="126" ht="14.25" customHeight="1">
      <c r="L126" s="91"/>
      <c r="M126" s="78"/>
      <c r="R126" s="78"/>
    </row>
    <row r="127" ht="14.25" customHeight="1">
      <c r="L127" s="91"/>
      <c r="M127" s="78"/>
      <c r="R127" s="78"/>
    </row>
    <row r="128" ht="14.25" customHeight="1">
      <c r="L128" s="91"/>
      <c r="M128" s="78"/>
      <c r="R128" s="78"/>
    </row>
    <row r="129" ht="14.25" customHeight="1">
      <c r="L129" s="91"/>
      <c r="M129" s="78"/>
      <c r="R129" s="78"/>
    </row>
    <row r="130" ht="14.25" customHeight="1">
      <c r="L130" s="91"/>
      <c r="M130" s="78"/>
      <c r="R130" s="78"/>
    </row>
    <row r="131" ht="14.25" customHeight="1">
      <c r="L131" s="91"/>
      <c r="M131" s="78"/>
      <c r="R131" s="78"/>
    </row>
    <row r="132" ht="14.25" customHeight="1">
      <c r="L132" s="91"/>
      <c r="M132" s="78"/>
      <c r="R132" s="78"/>
    </row>
    <row r="133" ht="14.25" customHeight="1">
      <c r="L133" s="91"/>
      <c r="M133" s="78"/>
      <c r="R133" s="78"/>
    </row>
    <row r="134" ht="14.25" customHeight="1">
      <c r="L134" s="91"/>
      <c r="M134" s="78"/>
      <c r="R134" s="78"/>
    </row>
    <row r="135" ht="14.25" customHeight="1">
      <c r="L135" s="91"/>
      <c r="M135" s="78"/>
      <c r="R135" s="78"/>
    </row>
    <row r="136" ht="14.25" customHeight="1">
      <c r="L136" s="91"/>
      <c r="M136" s="78"/>
      <c r="R136" s="78"/>
    </row>
    <row r="137" ht="14.25" customHeight="1">
      <c r="L137" s="91"/>
      <c r="M137" s="78"/>
      <c r="R137" s="78"/>
    </row>
    <row r="138" ht="14.25" customHeight="1">
      <c r="L138" s="91"/>
      <c r="M138" s="78"/>
      <c r="R138" s="78"/>
    </row>
    <row r="139" ht="14.25" customHeight="1">
      <c r="L139" s="91"/>
      <c r="M139" s="78"/>
      <c r="R139" s="78"/>
    </row>
    <row r="140" ht="14.25" customHeight="1">
      <c r="L140" s="91"/>
      <c r="M140" s="78"/>
      <c r="R140" s="78"/>
    </row>
    <row r="141" ht="14.25" customHeight="1">
      <c r="L141" s="91"/>
      <c r="M141" s="78"/>
      <c r="R141" s="78"/>
    </row>
    <row r="142" ht="14.25" customHeight="1">
      <c r="L142" s="91"/>
      <c r="M142" s="78"/>
      <c r="R142" s="78"/>
    </row>
    <row r="143" ht="14.25" customHeight="1">
      <c r="L143" s="91"/>
      <c r="M143" s="78"/>
      <c r="R143" s="78"/>
    </row>
    <row r="144" ht="14.25" customHeight="1">
      <c r="L144" s="91"/>
      <c r="M144" s="78"/>
      <c r="R144" s="78"/>
    </row>
    <row r="145" ht="14.25" customHeight="1">
      <c r="L145" s="91"/>
      <c r="M145" s="78"/>
      <c r="R145" s="78"/>
    </row>
    <row r="146" ht="14.25" customHeight="1">
      <c r="L146" s="91"/>
      <c r="M146" s="78"/>
      <c r="R146" s="78"/>
    </row>
    <row r="147" ht="14.25" customHeight="1">
      <c r="L147" s="91"/>
      <c r="M147" s="78"/>
      <c r="R147" s="78"/>
    </row>
    <row r="148" ht="14.25" customHeight="1">
      <c r="L148" s="91"/>
      <c r="M148" s="78"/>
      <c r="R148" s="78"/>
    </row>
    <row r="149" ht="14.25" customHeight="1">
      <c r="L149" s="91"/>
      <c r="M149" s="78"/>
      <c r="R149" s="78"/>
    </row>
    <row r="150" ht="14.25" customHeight="1">
      <c r="L150" s="91"/>
      <c r="M150" s="78"/>
      <c r="R150" s="78"/>
    </row>
    <row r="151" ht="14.25" customHeight="1">
      <c r="L151" s="91"/>
      <c r="M151" s="78"/>
      <c r="R151" s="78"/>
    </row>
    <row r="152" ht="14.25" customHeight="1">
      <c r="L152" s="91"/>
      <c r="M152" s="78"/>
      <c r="R152" s="78"/>
    </row>
    <row r="153" ht="14.25" customHeight="1">
      <c r="L153" s="91"/>
      <c r="M153" s="78"/>
      <c r="R153" s="78"/>
    </row>
    <row r="154" ht="14.25" customHeight="1">
      <c r="L154" s="91"/>
      <c r="M154" s="78"/>
      <c r="R154" s="78"/>
    </row>
    <row r="155" ht="14.25" customHeight="1">
      <c r="L155" s="91"/>
      <c r="M155" s="78"/>
      <c r="R155" s="78"/>
    </row>
    <row r="156" ht="14.25" customHeight="1">
      <c r="L156" s="91"/>
      <c r="M156" s="78"/>
      <c r="R156" s="78"/>
    </row>
    <row r="157" ht="14.25" customHeight="1">
      <c r="L157" s="91"/>
      <c r="M157" s="78"/>
      <c r="R157" s="78"/>
    </row>
    <row r="158" ht="14.25" customHeight="1">
      <c r="L158" s="91"/>
      <c r="M158" s="78"/>
      <c r="R158" s="78"/>
    </row>
    <row r="159" ht="14.25" customHeight="1">
      <c r="L159" s="91"/>
      <c r="M159" s="78"/>
      <c r="R159" s="78"/>
    </row>
    <row r="160" ht="14.25" customHeight="1">
      <c r="L160" s="91"/>
      <c r="M160" s="78"/>
      <c r="R160" s="78"/>
    </row>
    <row r="161" ht="14.25" customHeight="1">
      <c r="L161" s="91"/>
      <c r="M161" s="78"/>
      <c r="R161" s="78"/>
    </row>
    <row r="162" ht="14.25" customHeight="1">
      <c r="L162" s="91"/>
      <c r="M162" s="78"/>
      <c r="R162" s="78"/>
    </row>
    <row r="163" ht="14.25" customHeight="1">
      <c r="L163" s="91"/>
      <c r="M163" s="78"/>
      <c r="R163" s="78"/>
    </row>
    <row r="164" ht="14.25" customHeight="1">
      <c r="L164" s="91"/>
      <c r="M164" s="78"/>
      <c r="R164" s="78"/>
    </row>
    <row r="165" ht="14.25" customHeight="1">
      <c r="L165" s="91"/>
      <c r="M165" s="78"/>
      <c r="R165" s="78"/>
    </row>
    <row r="166" ht="14.25" customHeight="1">
      <c r="L166" s="91"/>
      <c r="M166" s="78"/>
      <c r="R166" s="78"/>
    </row>
    <row r="167" ht="14.25" customHeight="1">
      <c r="L167" s="91"/>
      <c r="M167" s="78"/>
      <c r="R167" s="78"/>
    </row>
    <row r="168" ht="14.25" customHeight="1">
      <c r="L168" s="91"/>
      <c r="M168" s="78"/>
      <c r="R168" s="78"/>
    </row>
    <row r="169" ht="14.25" customHeight="1">
      <c r="L169" s="91"/>
      <c r="M169" s="78"/>
      <c r="R169" s="78"/>
    </row>
    <row r="170" ht="14.25" customHeight="1">
      <c r="L170" s="91"/>
      <c r="M170" s="78"/>
      <c r="R170" s="78"/>
    </row>
    <row r="171" ht="14.25" customHeight="1">
      <c r="L171" s="91"/>
      <c r="M171" s="78"/>
      <c r="R171" s="78"/>
    </row>
    <row r="172" ht="14.25" customHeight="1">
      <c r="L172" s="91"/>
      <c r="M172" s="78"/>
      <c r="R172" s="78"/>
    </row>
    <row r="173" ht="14.25" customHeight="1">
      <c r="L173" s="91"/>
      <c r="M173" s="78"/>
      <c r="R173" s="78"/>
    </row>
    <row r="174" ht="14.25" customHeight="1">
      <c r="L174" s="91"/>
      <c r="M174" s="78"/>
      <c r="R174" s="78"/>
    </row>
    <row r="175" ht="14.25" customHeight="1">
      <c r="L175" s="91"/>
      <c r="M175" s="78"/>
      <c r="R175" s="78"/>
    </row>
    <row r="176" ht="14.25" customHeight="1">
      <c r="L176" s="91"/>
      <c r="M176" s="78"/>
      <c r="R176" s="78"/>
    </row>
    <row r="177" ht="14.25" customHeight="1">
      <c r="L177" s="91"/>
      <c r="M177" s="78"/>
      <c r="R177" s="78"/>
    </row>
    <row r="178" ht="14.25" customHeight="1">
      <c r="L178" s="91"/>
      <c r="M178" s="78"/>
      <c r="R178" s="78"/>
    </row>
    <row r="179" ht="14.25" customHeight="1">
      <c r="L179" s="91"/>
      <c r="M179" s="78"/>
      <c r="R179" s="78"/>
    </row>
    <row r="180" ht="14.25" customHeight="1">
      <c r="L180" s="91"/>
      <c r="M180" s="78"/>
      <c r="R180" s="78"/>
    </row>
    <row r="181" ht="14.25" customHeight="1">
      <c r="L181" s="91"/>
      <c r="M181" s="78"/>
      <c r="R181" s="78"/>
    </row>
    <row r="182" ht="14.25" customHeight="1">
      <c r="L182" s="91"/>
      <c r="M182" s="78"/>
      <c r="R182" s="78"/>
    </row>
    <row r="183" ht="14.25" customHeight="1">
      <c r="L183" s="91"/>
      <c r="M183" s="78"/>
      <c r="R183" s="78"/>
    </row>
    <row r="184" ht="14.25" customHeight="1">
      <c r="L184" s="91"/>
      <c r="M184" s="78"/>
      <c r="R184" s="78"/>
    </row>
    <row r="185" ht="14.25" customHeight="1">
      <c r="L185" s="91"/>
      <c r="M185" s="78"/>
      <c r="R185" s="78"/>
    </row>
    <row r="186" ht="14.25" customHeight="1">
      <c r="L186" s="91"/>
      <c r="M186" s="78"/>
      <c r="R186" s="78"/>
    </row>
    <row r="187" ht="14.25" customHeight="1">
      <c r="L187" s="91"/>
      <c r="M187" s="78"/>
      <c r="R187" s="78"/>
    </row>
    <row r="188" ht="14.25" customHeight="1">
      <c r="L188" s="91"/>
      <c r="M188" s="78"/>
      <c r="R188" s="78"/>
    </row>
    <row r="189" ht="14.25" customHeight="1">
      <c r="L189" s="91"/>
      <c r="M189" s="78"/>
      <c r="R189" s="78"/>
    </row>
    <row r="190" ht="14.25" customHeight="1">
      <c r="L190" s="91"/>
      <c r="M190" s="78"/>
      <c r="R190" s="78"/>
    </row>
    <row r="191" ht="14.25" customHeight="1">
      <c r="L191" s="91"/>
      <c r="M191" s="78"/>
      <c r="R191" s="78"/>
    </row>
    <row r="192" ht="14.25" customHeight="1">
      <c r="L192" s="91"/>
      <c r="M192" s="78"/>
      <c r="R192" s="78"/>
    </row>
    <row r="193" ht="14.25" customHeight="1">
      <c r="L193" s="91"/>
      <c r="M193" s="78"/>
      <c r="R193" s="78"/>
    </row>
    <row r="194" ht="14.25" customHeight="1">
      <c r="L194" s="91"/>
      <c r="M194" s="78"/>
      <c r="R194" s="78"/>
    </row>
    <row r="195" ht="14.25" customHeight="1">
      <c r="L195" s="91"/>
      <c r="M195" s="78"/>
      <c r="R195" s="78"/>
    </row>
    <row r="196" ht="14.25" customHeight="1">
      <c r="L196" s="91"/>
      <c r="M196" s="78"/>
      <c r="R196" s="78"/>
    </row>
    <row r="197" ht="14.25" customHeight="1">
      <c r="L197" s="91"/>
      <c r="M197" s="78"/>
      <c r="R197" s="78"/>
    </row>
    <row r="198" ht="14.25" customHeight="1">
      <c r="L198" s="91"/>
      <c r="M198" s="78"/>
      <c r="R198" s="78"/>
    </row>
    <row r="199" ht="14.25" customHeight="1">
      <c r="L199" s="91"/>
      <c r="M199" s="78"/>
      <c r="R199" s="78"/>
    </row>
    <row r="200" ht="14.25" customHeight="1">
      <c r="L200" s="91"/>
      <c r="M200" s="78"/>
      <c r="R200" s="78"/>
    </row>
    <row r="201" ht="14.25" customHeight="1">
      <c r="L201" s="91"/>
      <c r="M201" s="78"/>
      <c r="R201" s="78"/>
    </row>
    <row r="202" ht="14.25" customHeight="1">
      <c r="L202" s="91"/>
      <c r="M202" s="78"/>
      <c r="R202" s="78"/>
    </row>
    <row r="203" ht="14.25" customHeight="1">
      <c r="L203" s="91"/>
      <c r="M203" s="78"/>
      <c r="R203" s="78"/>
    </row>
    <row r="204" ht="14.25" customHeight="1">
      <c r="L204" s="91"/>
      <c r="M204" s="78"/>
      <c r="R204" s="78"/>
    </row>
    <row r="205" ht="14.25" customHeight="1">
      <c r="L205" s="91"/>
      <c r="M205" s="78"/>
      <c r="R205" s="78"/>
    </row>
    <row r="206" ht="14.25" customHeight="1">
      <c r="L206" s="91"/>
      <c r="M206" s="78"/>
      <c r="R206" s="78"/>
    </row>
    <row r="207" ht="14.25" customHeight="1">
      <c r="L207" s="91"/>
      <c r="M207" s="78"/>
      <c r="R207" s="78"/>
    </row>
    <row r="208" ht="14.25" customHeight="1">
      <c r="L208" s="91"/>
      <c r="M208" s="78"/>
      <c r="R208" s="78"/>
    </row>
    <row r="209" ht="14.25" customHeight="1">
      <c r="L209" s="91"/>
      <c r="M209" s="78"/>
      <c r="R209" s="78"/>
    </row>
    <row r="210" ht="14.25" customHeight="1">
      <c r="L210" s="91"/>
      <c r="M210" s="78"/>
      <c r="R210" s="78"/>
    </row>
    <row r="211" ht="14.25" customHeight="1">
      <c r="L211" s="91"/>
      <c r="M211" s="78"/>
      <c r="R211" s="78"/>
    </row>
    <row r="212" ht="14.25" customHeight="1">
      <c r="L212" s="91"/>
      <c r="M212" s="78"/>
      <c r="R212" s="78"/>
    </row>
    <row r="213" ht="14.25" customHeight="1">
      <c r="L213" s="91"/>
      <c r="M213" s="78"/>
      <c r="R213" s="78"/>
    </row>
    <row r="214" ht="14.25" customHeight="1">
      <c r="L214" s="91"/>
      <c r="M214" s="78"/>
      <c r="R214" s="78"/>
    </row>
    <row r="215" ht="14.25" customHeight="1">
      <c r="L215" s="91"/>
      <c r="M215" s="78"/>
      <c r="R215" s="78"/>
    </row>
    <row r="216" ht="14.25" customHeight="1">
      <c r="L216" s="91"/>
      <c r="M216" s="78"/>
      <c r="R216" s="78"/>
    </row>
    <row r="217" ht="14.25" customHeight="1">
      <c r="L217" s="91"/>
      <c r="M217" s="78"/>
      <c r="R217" s="78"/>
    </row>
    <row r="218" ht="14.25" customHeight="1">
      <c r="L218" s="91"/>
      <c r="M218" s="78"/>
      <c r="R218" s="78"/>
    </row>
    <row r="219" ht="14.25" customHeight="1">
      <c r="L219" s="91"/>
      <c r="M219" s="78"/>
      <c r="R219" s="78"/>
    </row>
    <row r="220" ht="14.25" customHeight="1">
      <c r="L220" s="91"/>
      <c r="M220" s="78"/>
      <c r="R220" s="78"/>
    </row>
    <row r="221" ht="14.25" customHeight="1">
      <c r="L221" s="91"/>
      <c r="M221" s="78"/>
      <c r="R221" s="78"/>
    </row>
    <row r="222" ht="14.25" customHeight="1">
      <c r="L222" s="91"/>
      <c r="M222" s="78"/>
      <c r="R222" s="78"/>
    </row>
    <row r="223" ht="14.25" customHeight="1">
      <c r="L223" s="91"/>
      <c r="M223" s="78"/>
      <c r="R223" s="78"/>
    </row>
    <row r="224" ht="14.25" customHeight="1">
      <c r="L224" s="91"/>
      <c r="M224" s="78"/>
      <c r="R224" s="78"/>
    </row>
    <row r="225" ht="14.25" customHeight="1">
      <c r="L225" s="91"/>
      <c r="M225" s="78"/>
      <c r="R225" s="78"/>
    </row>
    <row r="226" ht="14.25" customHeight="1">
      <c r="L226" s="91"/>
      <c r="M226" s="78"/>
      <c r="R226" s="78"/>
    </row>
    <row r="227" ht="14.25" customHeight="1">
      <c r="L227" s="91"/>
      <c r="M227" s="78"/>
      <c r="R227" s="78"/>
    </row>
    <row r="228" ht="14.25" customHeight="1">
      <c r="L228" s="91"/>
      <c r="M228" s="78"/>
      <c r="R228" s="78"/>
    </row>
    <row r="229" ht="14.25" customHeight="1">
      <c r="L229" s="91"/>
      <c r="M229" s="78"/>
      <c r="R229" s="78"/>
    </row>
    <row r="230" ht="14.25" customHeight="1">
      <c r="L230" s="91"/>
      <c r="M230" s="78"/>
      <c r="R230" s="78"/>
    </row>
    <row r="231" ht="14.25" customHeight="1">
      <c r="L231" s="91"/>
      <c r="M231" s="78"/>
      <c r="R231" s="78"/>
    </row>
    <row r="232" ht="14.25" customHeight="1">
      <c r="L232" s="91"/>
      <c r="M232" s="78"/>
      <c r="R232" s="78"/>
    </row>
    <row r="233" ht="14.25" customHeight="1">
      <c r="L233" s="91"/>
      <c r="M233" s="78"/>
      <c r="R233" s="78"/>
    </row>
    <row r="234" ht="14.25" customHeight="1">
      <c r="L234" s="91"/>
      <c r="M234" s="78"/>
      <c r="R234" s="78"/>
    </row>
    <row r="235" ht="14.25" customHeight="1">
      <c r="L235" s="91"/>
      <c r="M235" s="78"/>
      <c r="R235" s="78"/>
    </row>
    <row r="236" ht="14.25" customHeight="1">
      <c r="L236" s="91"/>
      <c r="M236" s="78"/>
      <c r="R236" s="78"/>
    </row>
    <row r="237" ht="14.25" customHeight="1">
      <c r="L237" s="91"/>
      <c r="M237" s="78"/>
      <c r="R237" s="78"/>
    </row>
    <row r="238" ht="14.25" customHeight="1">
      <c r="L238" s="91"/>
      <c r="M238" s="78"/>
      <c r="R238" s="78"/>
    </row>
    <row r="239" ht="14.25" customHeight="1">
      <c r="L239" s="91"/>
      <c r="M239" s="78"/>
      <c r="R239" s="78"/>
    </row>
    <row r="240" ht="14.25" customHeight="1">
      <c r="L240" s="91"/>
      <c r="M240" s="78"/>
      <c r="R240" s="78"/>
    </row>
    <row r="241" ht="14.25" customHeight="1">
      <c r="L241" s="91"/>
      <c r="M241" s="78"/>
      <c r="R241" s="78"/>
    </row>
    <row r="242" ht="14.25" customHeight="1">
      <c r="L242" s="91"/>
      <c r="M242" s="78"/>
      <c r="R242" s="78"/>
    </row>
    <row r="243" ht="14.25" customHeight="1">
      <c r="L243" s="91"/>
      <c r="M243" s="78"/>
      <c r="R243" s="78"/>
    </row>
    <row r="244" ht="14.25" customHeight="1">
      <c r="L244" s="91"/>
      <c r="M244" s="78"/>
      <c r="R244" s="78"/>
    </row>
    <row r="245" ht="14.25" customHeight="1">
      <c r="L245" s="91"/>
      <c r="M245" s="78"/>
      <c r="R245" s="78"/>
    </row>
    <row r="246" ht="14.25" customHeight="1">
      <c r="L246" s="91"/>
      <c r="M246" s="78"/>
      <c r="R246" s="78"/>
    </row>
    <row r="247" ht="14.25" customHeight="1">
      <c r="L247" s="91"/>
      <c r="M247" s="78"/>
      <c r="R247" s="78"/>
    </row>
    <row r="248" ht="14.25" customHeight="1">
      <c r="L248" s="91"/>
      <c r="M248" s="78"/>
      <c r="R248" s="78"/>
    </row>
    <row r="249" ht="14.25" customHeight="1">
      <c r="L249" s="91"/>
      <c r="M249" s="78"/>
      <c r="R249" s="78"/>
    </row>
    <row r="250" ht="14.25" customHeight="1">
      <c r="L250" s="91"/>
      <c r="M250" s="78"/>
      <c r="R250" s="78"/>
    </row>
    <row r="251" ht="14.25" customHeight="1">
      <c r="L251" s="91"/>
      <c r="M251" s="78"/>
      <c r="R251" s="78"/>
    </row>
    <row r="252" ht="14.25" customHeight="1">
      <c r="L252" s="91"/>
      <c r="M252" s="78"/>
      <c r="R252" s="78"/>
    </row>
    <row r="253" ht="14.25" customHeight="1">
      <c r="L253" s="91"/>
      <c r="M253" s="78"/>
      <c r="R253" s="78"/>
    </row>
    <row r="254" ht="14.25" customHeight="1">
      <c r="L254" s="91"/>
      <c r="M254" s="78"/>
      <c r="R254" s="78"/>
    </row>
    <row r="255" ht="14.25" customHeight="1">
      <c r="L255" s="91"/>
      <c r="M255" s="78"/>
      <c r="R255" s="78"/>
    </row>
    <row r="256" ht="14.25" customHeight="1">
      <c r="L256" s="91"/>
      <c r="M256" s="78"/>
      <c r="R256" s="78"/>
    </row>
    <row r="257" ht="14.25" customHeight="1">
      <c r="L257" s="91"/>
      <c r="M257" s="78"/>
      <c r="R257" s="78"/>
    </row>
    <row r="258" ht="14.25" customHeight="1">
      <c r="L258" s="91"/>
      <c r="M258" s="78"/>
      <c r="R258" s="78"/>
    </row>
    <row r="259" ht="14.25" customHeight="1">
      <c r="L259" s="91"/>
      <c r="M259" s="78"/>
      <c r="R259" s="78"/>
    </row>
    <row r="260" ht="14.25" customHeight="1">
      <c r="L260" s="91"/>
      <c r="M260" s="78"/>
      <c r="R260" s="78"/>
    </row>
    <row r="261" ht="14.25" customHeight="1">
      <c r="L261" s="91"/>
      <c r="M261" s="78"/>
      <c r="R261" s="78"/>
    </row>
    <row r="262" ht="14.25" customHeight="1">
      <c r="L262" s="91"/>
      <c r="M262" s="78"/>
      <c r="R262" s="78"/>
    </row>
    <row r="263" ht="14.25" customHeight="1">
      <c r="L263" s="91"/>
      <c r="M263" s="78"/>
      <c r="R263" s="78"/>
    </row>
    <row r="264" ht="14.25" customHeight="1">
      <c r="L264" s="91"/>
      <c r="M264" s="78"/>
      <c r="R264" s="78"/>
    </row>
    <row r="265" ht="14.25" customHeight="1">
      <c r="L265" s="91"/>
      <c r="M265" s="78"/>
      <c r="R265" s="78"/>
    </row>
    <row r="266" ht="14.25" customHeight="1">
      <c r="L266" s="91"/>
      <c r="M266" s="78"/>
      <c r="R266" s="78"/>
    </row>
    <row r="267" ht="14.25" customHeight="1">
      <c r="L267" s="91"/>
      <c r="M267" s="78"/>
      <c r="R267" s="78"/>
    </row>
    <row r="268" ht="14.25" customHeight="1">
      <c r="L268" s="91"/>
      <c r="M268" s="78"/>
      <c r="R268" s="78"/>
    </row>
    <row r="269" ht="14.25" customHeight="1">
      <c r="L269" s="91"/>
      <c r="M269" s="78"/>
      <c r="R269" s="78"/>
    </row>
    <row r="270" ht="14.25" customHeight="1">
      <c r="L270" s="91"/>
      <c r="M270" s="78"/>
      <c r="R270" s="78"/>
    </row>
    <row r="271" ht="14.25" customHeight="1">
      <c r="L271" s="91"/>
      <c r="M271" s="78"/>
      <c r="R271" s="78"/>
    </row>
    <row r="272" ht="14.25" customHeight="1">
      <c r="L272" s="91"/>
      <c r="M272" s="78"/>
      <c r="R272" s="78"/>
    </row>
    <row r="273" ht="14.25" customHeight="1">
      <c r="L273" s="91"/>
      <c r="M273" s="78"/>
      <c r="R273" s="78"/>
    </row>
    <row r="274" ht="14.25" customHeight="1">
      <c r="L274" s="91"/>
      <c r="M274" s="78"/>
      <c r="R274" s="78"/>
    </row>
    <row r="275" ht="14.25" customHeight="1">
      <c r="L275" s="91"/>
      <c r="M275" s="78"/>
      <c r="R275" s="78"/>
    </row>
    <row r="276" ht="14.25" customHeight="1">
      <c r="L276" s="91"/>
      <c r="M276" s="78"/>
      <c r="R276" s="78"/>
    </row>
    <row r="277" ht="14.25" customHeight="1">
      <c r="L277" s="91"/>
      <c r="M277" s="78"/>
      <c r="R277" s="78"/>
    </row>
    <row r="278" ht="14.25" customHeight="1">
      <c r="L278" s="91"/>
      <c r="M278" s="78"/>
      <c r="R278" s="78"/>
    </row>
    <row r="279" ht="14.25" customHeight="1">
      <c r="L279" s="91"/>
      <c r="M279" s="78"/>
      <c r="R279" s="78"/>
    </row>
    <row r="280" ht="14.25" customHeight="1">
      <c r="L280" s="91"/>
      <c r="M280" s="78"/>
      <c r="R280" s="78"/>
    </row>
    <row r="281" ht="14.25" customHeight="1">
      <c r="L281" s="91"/>
      <c r="M281" s="78"/>
      <c r="R281" s="78"/>
    </row>
    <row r="282" ht="14.25" customHeight="1">
      <c r="L282" s="91"/>
      <c r="M282" s="78"/>
      <c r="R282" s="78"/>
    </row>
    <row r="283" ht="14.25" customHeight="1">
      <c r="L283" s="91"/>
      <c r="M283" s="78"/>
      <c r="R283" s="78"/>
    </row>
    <row r="284" ht="14.25" customHeight="1">
      <c r="L284" s="91"/>
      <c r="M284" s="78"/>
      <c r="R284" s="78"/>
    </row>
    <row r="285" ht="14.25" customHeight="1">
      <c r="L285" s="91"/>
      <c r="M285" s="78"/>
      <c r="R285" s="78"/>
    </row>
    <row r="286" ht="14.25" customHeight="1">
      <c r="L286" s="91"/>
      <c r="M286" s="78"/>
      <c r="R286" s="78"/>
    </row>
    <row r="287" ht="14.25" customHeight="1">
      <c r="L287" s="91"/>
      <c r="M287" s="78"/>
      <c r="R287" s="78"/>
    </row>
    <row r="288" ht="14.25" customHeight="1">
      <c r="L288" s="91"/>
      <c r="M288" s="78"/>
      <c r="R288" s="78"/>
    </row>
    <row r="289" ht="14.25" customHeight="1">
      <c r="L289" s="91"/>
      <c r="M289" s="78"/>
      <c r="R289" s="78"/>
    </row>
    <row r="290" ht="14.25" customHeight="1">
      <c r="L290" s="91"/>
      <c r="M290" s="78"/>
      <c r="R290" s="78"/>
    </row>
    <row r="291" ht="14.25" customHeight="1">
      <c r="L291" s="91"/>
      <c r="M291" s="78"/>
      <c r="R291" s="78"/>
    </row>
    <row r="292" ht="14.25" customHeight="1">
      <c r="L292" s="91"/>
      <c r="M292" s="78"/>
      <c r="R292" s="78"/>
    </row>
    <row r="293" ht="14.25" customHeight="1">
      <c r="L293" s="91"/>
      <c r="M293" s="78"/>
      <c r="R293" s="78"/>
    </row>
    <row r="294" ht="14.25" customHeight="1">
      <c r="L294" s="91"/>
      <c r="M294" s="78"/>
      <c r="R294" s="78"/>
    </row>
    <row r="295" ht="14.25" customHeight="1">
      <c r="L295" s="91"/>
      <c r="M295" s="78"/>
      <c r="R295" s="78"/>
    </row>
    <row r="296" ht="14.25" customHeight="1">
      <c r="L296" s="91"/>
      <c r="M296" s="78"/>
      <c r="R296" s="78"/>
    </row>
    <row r="297" ht="14.25" customHeight="1">
      <c r="L297" s="91"/>
      <c r="M297" s="78"/>
      <c r="R297" s="78"/>
    </row>
    <row r="298" ht="14.25" customHeight="1">
      <c r="L298" s="91"/>
      <c r="M298" s="78"/>
      <c r="R298" s="78"/>
    </row>
    <row r="299" ht="14.25" customHeight="1">
      <c r="L299" s="91"/>
      <c r="M299" s="78"/>
      <c r="R299" s="78"/>
    </row>
    <row r="300" ht="14.25" customHeight="1">
      <c r="L300" s="91"/>
      <c r="M300" s="78"/>
      <c r="R300" s="78"/>
    </row>
    <row r="301" ht="14.25" customHeight="1">
      <c r="L301" s="91"/>
      <c r="M301" s="78"/>
      <c r="R301" s="78"/>
    </row>
    <row r="302" ht="14.25" customHeight="1">
      <c r="L302" s="91"/>
      <c r="M302" s="78"/>
      <c r="R302" s="78"/>
    </row>
    <row r="303" ht="14.25" customHeight="1">
      <c r="L303" s="91"/>
      <c r="M303" s="78"/>
      <c r="R303" s="78"/>
    </row>
    <row r="304" ht="14.25" customHeight="1">
      <c r="L304" s="91"/>
      <c r="M304" s="78"/>
      <c r="R304" s="78"/>
    </row>
    <row r="305" ht="14.25" customHeight="1">
      <c r="L305" s="91"/>
      <c r="M305" s="78"/>
      <c r="R305" s="78"/>
    </row>
    <row r="306" ht="14.25" customHeight="1">
      <c r="L306" s="91"/>
      <c r="M306" s="78"/>
      <c r="R306" s="78"/>
    </row>
    <row r="307" ht="14.25" customHeight="1">
      <c r="L307" s="91"/>
      <c r="M307" s="78"/>
      <c r="R307" s="78"/>
    </row>
    <row r="308" ht="14.25" customHeight="1">
      <c r="L308" s="91"/>
      <c r="M308" s="78"/>
      <c r="R308" s="78"/>
    </row>
    <row r="309" ht="14.25" customHeight="1">
      <c r="L309" s="91"/>
      <c r="M309" s="78"/>
      <c r="R309" s="78"/>
    </row>
    <row r="310" ht="14.25" customHeight="1">
      <c r="L310" s="91"/>
      <c r="M310" s="78"/>
      <c r="R310" s="78"/>
    </row>
    <row r="311" ht="14.25" customHeight="1">
      <c r="L311" s="91"/>
      <c r="M311" s="78"/>
      <c r="R311" s="78"/>
    </row>
    <row r="312" ht="14.25" customHeight="1">
      <c r="L312" s="91"/>
      <c r="M312" s="78"/>
      <c r="R312" s="78"/>
    </row>
    <row r="313" ht="14.25" customHeight="1">
      <c r="L313" s="91"/>
      <c r="M313" s="78"/>
      <c r="R313" s="78"/>
    </row>
    <row r="314" ht="14.25" customHeight="1">
      <c r="L314" s="91"/>
      <c r="M314" s="78"/>
      <c r="R314" s="78"/>
    </row>
    <row r="315" ht="14.25" customHeight="1">
      <c r="L315" s="91"/>
      <c r="M315" s="78"/>
      <c r="R315" s="78"/>
    </row>
    <row r="316" ht="14.25" customHeight="1">
      <c r="L316" s="91"/>
      <c r="M316" s="78"/>
      <c r="R316" s="78"/>
    </row>
    <row r="317" ht="14.25" customHeight="1">
      <c r="L317" s="91"/>
      <c r="M317" s="78"/>
      <c r="R317" s="78"/>
    </row>
    <row r="318" ht="14.25" customHeight="1">
      <c r="L318" s="91"/>
      <c r="M318" s="78"/>
      <c r="R318" s="78"/>
    </row>
    <row r="319" ht="14.25" customHeight="1">
      <c r="L319" s="91"/>
      <c r="M319" s="78"/>
      <c r="R319" s="78"/>
    </row>
    <row r="320" ht="14.25" customHeight="1">
      <c r="L320" s="91"/>
      <c r="M320" s="78"/>
      <c r="R320" s="78"/>
    </row>
    <row r="321" ht="14.25" customHeight="1">
      <c r="L321" s="91"/>
      <c r="M321" s="78"/>
      <c r="R321" s="78"/>
    </row>
    <row r="322" ht="14.25" customHeight="1">
      <c r="L322" s="91"/>
      <c r="M322" s="78"/>
      <c r="R322" s="78"/>
    </row>
    <row r="323" ht="14.25" customHeight="1">
      <c r="L323" s="91"/>
      <c r="M323" s="78"/>
      <c r="R323" s="78"/>
    </row>
    <row r="324" ht="14.25" customHeight="1">
      <c r="L324" s="91"/>
      <c r="M324" s="78"/>
      <c r="R324" s="78"/>
    </row>
    <row r="325" ht="14.25" customHeight="1">
      <c r="L325" s="91"/>
      <c r="M325" s="78"/>
      <c r="R325" s="78"/>
    </row>
    <row r="326" ht="14.25" customHeight="1">
      <c r="L326" s="91"/>
      <c r="M326" s="78"/>
      <c r="R326" s="78"/>
    </row>
    <row r="327" ht="14.25" customHeight="1">
      <c r="L327" s="91"/>
      <c r="M327" s="78"/>
      <c r="R327" s="78"/>
    </row>
    <row r="328" ht="14.25" customHeight="1">
      <c r="L328" s="91"/>
      <c r="M328" s="78"/>
      <c r="R328" s="78"/>
    </row>
    <row r="329" ht="14.25" customHeight="1">
      <c r="L329" s="91"/>
      <c r="M329" s="78"/>
      <c r="R329" s="78"/>
    </row>
    <row r="330" ht="14.25" customHeight="1">
      <c r="L330" s="91"/>
      <c r="M330" s="78"/>
      <c r="R330" s="78"/>
    </row>
    <row r="331" ht="14.25" customHeight="1">
      <c r="L331" s="91"/>
      <c r="M331" s="78"/>
      <c r="R331" s="78"/>
    </row>
    <row r="332" ht="14.25" customHeight="1">
      <c r="L332" s="91"/>
      <c r="M332" s="78"/>
      <c r="R332" s="78"/>
    </row>
    <row r="333" ht="14.25" customHeight="1">
      <c r="L333" s="91"/>
      <c r="M333" s="78"/>
      <c r="R333" s="78"/>
    </row>
    <row r="334" ht="14.25" customHeight="1">
      <c r="L334" s="91"/>
      <c r="M334" s="78"/>
      <c r="R334" s="78"/>
    </row>
    <row r="335" ht="14.25" customHeight="1">
      <c r="L335" s="91"/>
      <c r="M335" s="78"/>
      <c r="R335" s="78"/>
    </row>
    <row r="336" ht="14.25" customHeight="1">
      <c r="L336" s="91"/>
      <c r="M336" s="78"/>
      <c r="R336" s="78"/>
    </row>
    <row r="337" ht="14.25" customHeight="1">
      <c r="L337" s="91"/>
      <c r="M337" s="78"/>
      <c r="R337" s="78"/>
    </row>
    <row r="338" ht="14.25" customHeight="1">
      <c r="L338" s="91"/>
      <c r="M338" s="78"/>
      <c r="R338" s="78"/>
    </row>
    <row r="339" ht="14.25" customHeight="1">
      <c r="L339" s="91"/>
      <c r="M339" s="78"/>
      <c r="R339" s="78"/>
    </row>
    <row r="340" ht="14.25" customHeight="1">
      <c r="L340" s="91"/>
      <c r="M340" s="78"/>
      <c r="R340" s="78"/>
    </row>
    <row r="341" ht="14.25" customHeight="1">
      <c r="L341" s="91"/>
      <c r="M341" s="78"/>
      <c r="R341" s="78"/>
    </row>
    <row r="342" ht="14.25" customHeight="1">
      <c r="L342" s="91"/>
      <c r="M342" s="78"/>
      <c r="R342" s="78"/>
    </row>
    <row r="343" ht="14.25" customHeight="1">
      <c r="L343" s="91"/>
      <c r="M343" s="78"/>
      <c r="R343" s="78"/>
    </row>
    <row r="344" ht="14.25" customHeight="1">
      <c r="L344" s="91"/>
      <c r="M344" s="78"/>
      <c r="R344" s="78"/>
    </row>
    <row r="345" ht="14.25" customHeight="1">
      <c r="L345" s="91"/>
      <c r="M345" s="78"/>
      <c r="R345" s="78"/>
    </row>
    <row r="346" ht="14.25" customHeight="1">
      <c r="L346" s="91"/>
      <c r="M346" s="78"/>
      <c r="R346" s="78"/>
    </row>
    <row r="347" ht="14.25" customHeight="1">
      <c r="L347" s="91"/>
      <c r="M347" s="78"/>
      <c r="R347" s="78"/>
    </row>
    <row r="348" ht="14.25" customHeight="1">
      <c r="L348" s="91"/>
      <c r="M348" s="78"/>
      <c r="R348" s="78"/>
    </row>
    <row r="349" ht="14.25" customHeight="1">
      <c r="L349" s="91"/>
      <c r="M349" s="78"/>
      <c r="R349" s="78"/>
    </row>
    <row r="350" ht="14.25" customHeight="1">
      <c r="L350" s="91"/>
      <c r="M350" s="78"/>
      <c r="R350" s="78"/>
    </row>
    <row r="351" ht="14.25" customHeight="1">
      <c r="L351" s="91"/>
      <c r="M351" s="78"/>
      <c r="R351" s="78"/>
    </row>
    <row r="352" ht="14.25" customHeight="1">
      <c r="L352" s="91"/>
      <c r="M352" s="78"/>
      <c r="R352" s="78"/>
    </row>
    <row r="353" ht="14.25" customHeight="1">
      <c r="L353" s="91"/>
      <c r="M353" s="78"/>
      <c r="R353" s="78"/>
    </row>
    <row r="354" ht="14.25" customHeight="1">
      <c r="L354" s="91"/>
      <c r="M354" s="78"/>
      <c r="R354" s="78"/>
    </row>
    <row r="355" ht="14.25" customHeight="1">
      <c r="L355" s="91"/>
      <c r="M355" s="78"/>
      <c r="R355" s="78"/>
    </row>
    <row r="356" ht="14.25" customHeight="1">
      <c r="L356" s="91"/>
      <c r="M356" s="78"/>
      <c r="R356" s="78"/>
    </row>
    <row r="357" ht="14.25" customHeight="1">
      <c r="L357" s="91"/>
      <c r="M357" s="78"/>
      <c r="R357" s="78"/>
    </row>
    <row r="358" ht="14.25" customHeight="1">
      <c r="L358" s="91"/>
      <c r="M358" s="78"/>
      <c r="R358" s="78"/>
    </row>
    <row r="359" ht="14.25" customHeight="1">
      <c r="L359" s="91"/>
      <c r="M359" s="78"/>
      <c r="R359" s="78"/>
    </row>
    <row r="360" ht="14.25" customHeight="1">
      <c r="L360" s="91"/>
      <c r="M360" s="78"/>
      <c r="R360" s="78"/>
    </row>
    <row r="361" ht="14.25" customHeight="1">
      <c r="L361" s="91"/>
      <c r="M361" s="78"/>
      <c r="R361" s="78"/>
    </row>
    <row r="362" ht="14.25" customHeight="1">
      <c r="L362" s="91"/>
      <c r="M362" s="78"/>
      <c r="R362" s="78"/>
    </row>
    <row r="363" ht="14.25" customHeight="1">
      <c r="L363" s="91"/>
      <c r="M363" s="78"/>
      <c r="R363" s="78"/>
    </row>
    <row r="364" ht="14.25" customHeight="1">
      <c r="L364" s="91"/>
      <c r="M364" s="78"/>
      <c r="R364" s="78"/>
    </row>
    <row r="365" ht="14.25" customHeight="1">
      <c r="L365" s="91"/>
      <c r="M365" s="78"/>
      <c r="R365" s="78"/>
    </row>
    <row r="366" ht="14.25" customHeight="1">
      <c r="L366" s="91"/>
      <c r="M366" s="78"/>
      <c r="R366" s="78"/>
    </row>
    <row r="367" ht="14.25" customHeight="1">
      <c r="L367" s="91"/>
      <c r="M367" s="78"/>
      <c r="R367" s="78"/>
    </row>
    <row r="368" ht="14.25" customHeight="1">
      <c r="L368" s="91"/>
      <c r="M368" s="78"/>
      <c r="R368" s="78"/>
    </row>
    <row r="369" ht="14.25" customHeight="1">
      <c r="L369" s="91"/>
      <c r="M369" s="78"/>
      <c r="R369" s="78"/>
    </row>
    <row r="370" ht="14.25" customHeight="1">
      <c r="L370" s="91"/>
      <c r="M370" s="78"/>
      <c r="R370" s="78"/>
    </row>
    <row r="371" ht="14.25" customHeight="1">
      <c r="L371" s="91"/>
      <c r="M371" s="78"/>
      <c r="R371" s="78"/>
    </row>
    <row r="372" ht="14.25" customHeight="1">
      <c r="L372" s="91"/>
      <c r="M372" s="78"/>
      <c r="R372" s="78"/>
    </row>
    <row r="373" ht="14.25" customHeight="1">
      <c r="L373" s="91"/>
      <c r="M373" s="78"/>
      <c r="R373" s="78"/>
    </row>
    <row r="374" ht="14.25" customHeight="1">
      <c r="L374" s="91"/>
      <c r="M374" s="78"/>
      <c r="R374" s="78"/>
    </row>
    <row r="375" ht="14.25" customHeight="1">
      <c r="L375" s="91"/>
      <c r="M375" s="78"/>
      <c r="R375" s="78"/>
    </row>
    <row r="376" ht="14.25" customHeight="1">
      <c r="L376" s="91"/>
      <c r="M376" s="78"/>
      <c r="R376" s="78"/>
    </row>
    <row r="377" ht="14.25" customHeight="1">
      <c r="L377" s="91"/>
      <c r="M377" s="78"/>
      <c r="R377" s="78"/>
    </row>
    <row r="378" ht="14.25" customHeight="1">
      <c r="L378" s="91"/>
      <c r="M378" s="78"/>
      <c r="R378" s="78"/>
    </row>
    <row r="379" ht="14.25" customHeight="1">
      <c r="L379" s="91"/>
      <c r="M379" s="78"/>
      <c r="R379" s="78"/>
    </row>
    <row r="380" ht="14.25" customHeight="1">
      <c r="L380" s="91"/>
      <c r="M380" s="78"/>
      <c r="R380" s="78"/>
    </row>
    <row r="381" ht="14.25" customHeight="1">
      <c r="L381" s="91"/>
      <c r="M381" s="78"/>
      <c r="R381" s="78"/>
    </row>
    <row r="382" ht="14.25" customHeight="1">
      <c r="L382" s="91"/>
      <c r="M382" s="78"/>
      <c r="R382" s="78"/>
    </row>
    <row r="383" ht="14.25" customHeight="1">
      <c r="L383" s="91"/>
      <c r="M383" s="78"/>
      <c r="R383" s="78"/>
    </row>
    <row r="384" ht="14.25" customHeight="1">
      <c r="L384" s="91"/>
      <c r="M384" s="78"/>
      <c r="R384" s="78"/>
    </row>
    <row r="385" ht="14.25" customHeight="1">
      <c r="L385" s="91"/>
      <c r="M385" s="78"/>
      <c r="R385" s="78"/>
    </row>
    <row r="386" ht="14.25" customHeight="1">
      <c r="L386" s="91"/>
      <c r="M386" s="78"/>
      <c r="R386" s="78"/>
    </row>
    <row r="387" ht="14.25" customHeight="1">
      <c r="L387" s="91"/>
      <c r="M387" s="78"/>
      <c r="R387" s="78"/>
    </row>
    <row r="388" ht="14.25" customHeight="1">
      <c r="L388" s="91"/>
      <c r="M388" s="78"/>
      <c r="R388" s="78"/>
    </row>
    <row r="389" ht="14.25" customHeight="1">
      <c r="L389" s="91"/>
      <c r="M389" s="78"/>
      <c r="R389" s="78"/>
    </row>
    <row r="390" ht="14.25" customHeight="1">
      <c r="L390" s="91"/>
      <c r="M390" s="78"/>
      <c r="R390" s="78"/>
    </row>
    <row r="391" ht="14.25" customHeight="1">
      <c r="L391" s="91"/>
      <c r="M391" s="78"/>
      <c r="R391" s="78"/>
    </row>
    <row r="392" ht="14.25" customHeight="1">
      <c r="L392" s="91"/>
      <c r="M392" s="78"/>
      <c r="R392" s="78"/>
    </row>
    <row r="393" ht="14.25" customHeight="1">
      <c r="L393" s="91"/>
      <c r="M393" s="78"/>
      <c r="R393" s="78"/>
    </row>
    <row r="394" ht="14.25" customHeight="1">
      <c r="L394" s="91"/>
      <c r="M394" s="78"/>
      <c r="R394" s="78"/>
    </row>
    <row r="395" ht="14.25" customHeight="1">
      <c r="L395" s="91"/>
      <c r="M395" s="78"/>
      <c r="R395" s="78"/>
    </row>
    <row r="396" ht="14.25" customHeight="1">
      <c r="L396" s="91"/>
      <c r="M396" s="78"/>
      <c r="R396" s="78"/>
    </row>
    <row r="397" ht="14.25" customHeight="1">
      <c r="L397" s="91"/>
      <c r="M397" s="78"/>
      <c r="R397" s="78"/>
    </row>
    <row r="398" ht="14.25" customHeight="1">
      <c r="L398" s="91"/>
      <c r="M398" s="78"/>
      <c r="R398" s="78"/>
    </row>
    <row r="399" ht="14.25" customHeight="1">
      <c r="L399" s="91"/>
      <c r="M399" s="78"/>
      <c r="R399" s="78"/>
    </row>
    <row r="400" ht="14.25" customHeight="1">
      <c r="L400" s="91"/>
      <c r="M400" s="78"/>
      <c r="R400" s="78"/>
    </row>
    <row r="401" ht="14.25" customHeight="1">
      <c r="L401" s="91"/>
      <c r="M401" s="78"/>
      <c r="R401" s="78"/>
    </row>
    <row r="402" ht="14.25" customHeight="1">
      <c r="L402" s="91"/>
      <c r="M402" s="78"/>
      <c r="R402" s="78"/>
    </row>
    <row r="403" ht="14.25" customHeight="1">
      <c r="L403" s="91"/>
      <c r="M403" s="78"/>
      <c r="R403" s="78"/>
    </row>
    <row r="404" ht="14.25" customHeight="1">
      <c r="L404" s="91"/>
      <c r="M404" s="78"/>
      <c r="R404" s="78"/>
    </row>
    <row r="405" ht="14.25" customHeight="1">
      <c r="L405" s="91"/>
      <c r="M405" s="78"/>
      <c r="R405" s="78"/>
    </row>
    <row r="406" ht="14.25" customHeight="1">
      <c r="L406" s="91"/>
      <c r="M406" s="78"/>
      <c r="R406" s="78"/>
    </row>
    <row r="407" ht="14.25" customHeight="1">
      <c r="L407" s="91"/>
      <c r="M407" s="78"/>
      <c r="R407" s="78"/>
    </row>
    <row r="408" ht="14.25" customHeight="1">
      <c r="L408" s="91"/>
      <c r="M408" s="78"/>
      <c r="R408" s="78"/>
    </row>
    <row r="409" ht="14.25" customHeight="1">
      <c r="L409" s="91"/>
      <c r="M409" s="78"/>
      <c r="R409" s="78"/>
    </row>
    <row r="410" ht="14.25" customHeight="1">
      <c r="L410" s="91"/>
      <c r="M410" s="78"/>
      <c r="R410" s="78"/>
    </row>
    <row r="411" ht="14.25" customHeight="1">
      <c r="L411" s="91"/>
      <c r="M411" s="78"/>
      <c r="R411" s="78"/>
    </row>
    <row r="412" ht="14.25" customHeight="1">
      <c r="L412" s="91"/>
      <c r="M412" s="78"/>
      <c r="R412" s="78"/>
    </row>
    <row r="413" ht="14.25" customHeight="1">
      <c r="L413" s="91"/>
      <c r="M413" s="78"/>
      <c r="R413" s="78"/>
    </row>
    <row r="414" ht="14.25" customHeight="1">
      <c r="L414" s="91"/>
      <c r="M414" s="78"/>
      <c r="R414" s="78"/>
    </row>
    <row r="415" ht="14.25" customHeight="1">
      <c r="L415" s="91"/>
      <c r="M415" s="78"/>
      <c r="R415" s="78"/>
    </row>
    <row r="416" ht="14.25" customHeight="1">
      <c r="L416" s="91"/>
      <c r="M416" s="78"/>
      <c r="R416" s="78"/>
    </row>
    <row r="417" ht="14.25" customHeight="1">
      <c r="L417" s="91"/>
      <c r="M417" s="78"/>
      <c r="R417" s="78"/>
    </row>
    <row r="418" ht="14.25" customHeight="1">
      <c r="L418" s="91"/>
      <c r="M418" s="78"/>
      <c r="R418" s="78"/>
    </row>
    <row r="419" ht="14.25" customHeight="1">
      <c r="L419" s="91"/>
      <c r="M419" s="78"/>
      <c r="R419" s="78"/>
    </row>
    <row r="420" ht="14.25" customHeight="1">
      <c r="L420" s="91"/>
      <c r="M420" s="78"/>
      <c r="R420" s="78"/>
    </row>
    <row r="421" ht="14.25" customHeight="1">
      <c r="L421" s="91"/>
      <c r="M421" s="78"/>
      <c r="R421" s="78"/>
    </row>
    <row r="422" ht="14.25" customHeight="1">
      <c r="L422" s="91"/>
      <c r="M422" s="78"/>
      <c r="R422" s="78"/>
    </row>
    <row r="423" ht="14.25" customHeight="1">
      <c r="L423" s="91"/>
      <c r="M423" s="78"/>
      <c r="R423" s="78"/>
    </row>
    <row r="424" ht="14.25" customHeight="1">
      <c r="L424" s="91"/>
      <c r="M424" s="78"/>
      <c r="R424" s="78"/>
    </row>
    <row r="425" ht="14.25" customHeight="1">
      <c r="L425" s="91"/>
      <c r="M425" s="78"/>
      <c r="R425" s="78"/>
    </row>
    <row r="426" ht="14.25" customHeight="1">
      <c r="L426" s="91"/>
      <c r="M426" s="78"/>
      <c r="R426" s="78"/>
    </row>
    <row r="427" ht="14.25" customHeight="1">
      <c r="L427" s="91"/>
      <c r="M427" s="78"/>
      <c r="R427" s="78"/>
    </row>
    <row r="428" ht="14.25" customHeight="1">
      <c r="L428" s="91"/>
      <c r="M428" s="78"/>
      <c r="R428" s="78"/>
    </row>
    <row r="429" ht="14.25" customHeight="1">
      <c r="L429" s="91"/>
      <c r="M429" s="78"/>
      <c r="R429" s="78"/>
    </row>
    <row r="430" ht="14.25" customHeight="1">
      <c r="L430" s="91"/>
      <c r="M430" s="78"/>
      <c r="R430" s="78"/>
    </row>
    <row r="431" ht="14.25" customHeight="1">
      <c r="L431" s="91"/>
      <c r="M431" s="78"/>
      <c r="R431" s="78"/>
    </row>
    <row r="432" ht="14.25" customHeight="1">
      <c r="L432" s="91"/>
      <c r="M432" s="78"/>
      <c r="R432" s="78"/>
    </row>
    <row r="433" ht="14.25" customHeight="1">
      <c r="L433" s="91"/>
      <c r="M433" s="78"/>
      <c r="R433" s="78"/>
    </row>
    <row r="434" ht="14.25" customHeight="1">
      <c r="L434" s="91"/>
      <c r="M434" s="78"/>
      <c r="R434" s="78"/>
    </row>
    <row r="435" ht="14.25" customHeight="1">
      <c r="L435" s="91"/>
      <c r="M435" s="78"/>
      <c r="R435" s="78"/>
    </row>
    <row r="436" ht="14.25" customHeight="1">
      <c r="L436" s="91"/>
      <c r="M436" s="78"/>
      <c r="R436" s="78"/>
    </row>
    <row r="437" ht="14.25" customHeight="1">
      <c r="L437" s="91"/>
      <c r="M437" s="78"/>
      <c r="R437" s="78"/>
    </row>
    <row r="438" ht="14.25" customHeight="1">
      <c r="L438" s="91"/>
      <c r="M438" s="78"/>
      <c r="R438" s="78"/>
    </row>
    <row r="439" ht="14.25" customHeight="1">
      <c r="L439" s="91"/>
      <c r="M439" s="78"/>
      <c r="R439" s="78"/>
    </row>
    <row r="440" ht="14.25" customHeight="1">
      <c r="L440" s="91"/>
      <c r="M440" s="78"/>
      <c r="R440" s="78"/>
    </row>
    <row r="441" ht="14.25" customHeight="1">
      <c r="L441" s="91"/>
      <c r="M441" s="78"/>
      <c r="R441" s="78"/>
    </row>
    <row r="442" ht="14.25" customHeight="1">
      <c r="L442" s="91"/>
      <c r="M442" s="78"/>
      <c r="R442" s="78"/>
    </row>
    <row r="443" ht="14.25" customHeight="1">
      <c r="L443" s="91"/>
      <c r="M443" s="78"/>
      <c r="R443" s="78"/>
    </row>
    <row r="444" ht="14.25" customHeight="1">
      <c r="L444" s="91"/>
      <c r="M444" s="78"/>
      <c r="R444" s="78"/>
    </row>
    <row r="445" ht="14.25" customHeight="1">
      <c r="L445" s="91"/>
      <c r="M445" s="78"/>
      <c r="R445" s="78"/>
    </row>
    <row r="446" ht="14.25" customHeight="1">
      <c r="L446" s="91"/>
      <c r="M446" s="78"/>
      <c r="R446" s="78"/>
    </row>
    <row r="447" ht="14.25" customHeight="1">
      <c r="L447" s="91"/>
      <c r="M447" s="78"/>
      <c r="R447" s="78"/>
    </row>
    <row r="448" ht="14.25" customHeight="1">
      <c r="L448" s="91"/>
      <c r="M448" s="78"/>
      <c r="R448" s="78"/>
    </row>
    <row r="449" ht="14.25" customHeight="1">
      <c r="L449" s="91"/>
      <c r="M449" s="78"/>
      <c r="R449" s="78"/>
    </row>
    <row r="450" ht="14.25" customHeight="1">
      <c r="L450" s="91"/>
      <c r="M450" s="78"/>
      <c r="R450" s="78"/>
    </row>
    <row r="451" ht="14.25" customHeight="1">
      <c r="L451" s="91"/>
      <c r="M451" s="78"/>
      <c r="R451" s="78"/>
    </row>
    <row r="452" ht="14.25" customHeight="1">
      <c r="L452" s="91"/>
      <c r="M452" s="78"/>
      <c r="R452" s="78"/>
    </row>
    <row r="453" ht="14.25" customHeight="1">
      <c r="L453" s="91"/>
      <c r="M453" s="78"/>
      <c r="R453" s="78"/>
    </row>
    <row r="454" ht="14.25" customHeight="1">
      <c r="L454" s="91"/>
      <c r="M454" s="78"/>
      <c r="R454" s="78"/>
    </row>
    <row r="455" ht="14.25" customHeight="1">
      <c r="L455" s="91"/>
      <c r="M455" s="78"/>
      <c r="R455" s="78"/>
    </row>
    <row r="456" ht="14.25" customHeight="1">
      <c r="L456" s="91"/>
      <c r="M456" s="78"/>
      <c r="R456" s="78"/>
    </row>
    <row r="457" ht="14.25" customHeight="1">
      <c r="L457" s="91"/>
      <c r="M457" s="78"/>
      <c r="R457" s="78"/>
    </row>
    <row r="458" ht="14.25" customHeight="1">
      <c r="L458" s="91"/>
      <c r="M458" s="78"/>
      <c r="R458" s="78"/>
    </row>
    <row r="459" ht="14.25" customHeight="1">
      <c r="L459" s="91"/>
      <c r="M459" s="78"/>
      <c r="R459" s="78"/>
    </row>
    <row r="460" ht="14.25" customHeight="1">
      <c r="L460" s="91"/>
      <c r="M460" s="78"/>
      <c r="R460" s="78"/>
    </row>
    <row r="461" ht="14.25" customHeight="1">
      <c r="L461" s="91"/>
      <c r="M461" s="78"/>
      <c r="R461" s="78"/>
    </row>
    <row r="462" ht="14.25" customHeight="1">
      <c r="L462" s="91"/>
      <c r="M462" s="78"/>
      <c r="R462" s="78"/>
    </row>
    <row r="463" ht="14.25" customHeight="1">
      <c r="L463" s="91"/>
      <c r="M463" s="78"/>
      <c r="R463" s="78"/>
    </row>
    <row r="464" ht="14.25" customHeight="1">
      <c r="L464" s="91"/>
      <c r="M464" s="78"/>
      <c r="R464" s="78"/>
    </row>
    <row r="465" ht="14.25" customHeight="1">
      <c r="L465" s="91"/>
      <c r="M465" s="78"/>
      <c r="R465" s="78"/>
    </row>
    <row r="466" ht="14.25" customHeight="1">
      <c r="L466" s="91"/>
      <c r="M466" s="78"/>
      <c r="R466" s="78"/>
    </row>
    <row r="467" ht="14.25" customHeight="1">
      <c r="L467" s="91"/>
      <c r="M467" s="78"/>
      <c r="R467" s="78"/>
    </row>
    <row r="468" ht="14.25" customHeight="1">
      <c r="L468" s="91"/>
      <c r="M468" s="78"/>
      <c r="R468" s="78"/>
    </row>
    <row r="469" ht="14.25" customHeight="1">
      <c r="L469" s="91"/>
      <c r="M469" s="78"/>
      <c r="R469" s="78"/>
    </row>
    <row r="470" ht="14.25" customHeight="1">
      <c r="L470" s="91"/>
      <c r="M470" s="78"/>
      <c r="R470" s="78"/>
    </row>
    <row r="471" ht="14.25" customHeight="1">
      <c r="L471" s="91"/>
      <c r="M471" s="78"/>
      <c r="R471" s="78"/>
    </row>
    <row r="472" ht="14.25" customHeight="1">
      <c r="L472" s="91"/>
      <c r="M472" s="78"/>
      <c r="R472" s="78"/>
    </row>
    <row r="473" ht="14.25" customHeight="1">
      <c r="L473" s="91"/>
      <c r="M473" s="78"/>
      <c r="R473" s="78"/>
    </row>
    <row r="474" ht="14.25" customHeight="1">
      <c r="L474" s="91"/>
      <c r="M474" s="78"/>
      <c r="R474" s="78"/>
    </row>
    <row r="475" ht="14.25" customHeight="1">
      <c r="L475" s="91"/>
      <c r="M475" s="78"/>
      <c r="R475" s="78"/>
    </row>
    <row r="476" ht="14.25" customHeight="1">
      <c r="L476" s="91"/>
      <c r="M476" s="78"/>
      <c r="R476" s="78"/>
    </row>
    <row r="477" ht="14.25" customHeight="1">
      <c r="L477" s="91"/>
      <c r="M477" s="78"/>
      <c r="R477" s="78"/>
    </row>
    <row r="478" ht="14.25" customHeight="1">
      <c r="L478" s="91"/>
      <c r="M478" s="78"/>
      <c r="R478" s="78"/>
    </row>
    <row r="479" ht="14.25" customHeight="1">
      <c r="L479" s="91"/>
      <c r="M479" s="78"/>
      <c r="R479" s="78"/>
    </row>
    <row r="480" ht="14.25" customHeight="1">
      <c r="L480" s="91"/>
      <c r="M480" s="78"/>
      <c r="R480" s="78"/>
    </row>
    <row r="481" ht="14.25" customHeight="1">
      <c r="L481" s="91"/>
      <c r="M481" s="78"/>
      <c r="R481" s="78"/>
    </row>
    <row r="482" ht="14.25" customHeight="1">
      <c r="L482" s="91"/>
      <c r="M482" s="78"/>
      <c r="R482" s="78"/>
    </row>
    <row r="483" ht="14.25" customHeight="1">
      <c r="L483" s="91"/>
      <c r="M483" s="78"/>
      <c r="R483" s="78"/>
    </row>
    <row r="484" ht="14.25" customHeight="1">
      <c r="L484" s="91"/>
      <c r="M484" s="78"/>
      <c r="R484" s="78"/>
    </row>
    <row r="485" ht="14.25" customHeight="1">
      <c r="L485" s="91"/>
      <c r="M485" s="78"/>
      <c r="R485" s="78"/>
    </row>
    <row r="486" ht="14.25" customHeight="1">
      <c r="L486" s="91"/>
      <c r="M486" s="78"/>
      <c r="R486" s="78"/>
    </row>
    <row r="487" ht="14.25" customHeight="1">
      <c r="L487" s="91"/>
      <c r="M487" s="78"/>
      <c r="R487" s="78"/>
    </row>
    <row r="488" ht="14.25" customHeight="1">
      <c r="L488" s="91"/>
      <c r="M488" s="78"/>
      <c r="R488" s="78"/>
    </row>
    <row r="489" ht="14.25" customHeight="1">
      <c r="L489" s="91"/>
      <c r="M489" s="78"/>
      <c r="R489" s="78"/>
    </row>
    <row r="490" ht="14.25" customHeight="1">
      <c r="L490" s="91"/>
      <c r="M490" s="78"/>
      <c r="R490" s="78"/>
    </row>
    <row r="491" ht="14.25" customHeight="1">
      <c r="L491" s="91"/>
      <c r="M491" s="78"/>
      <c r="R491" s="78"/>
    </row>
    <row r="492" ht="14.25" customHeight="1">
      <c r="L492" s="91"/>
      <c r="M492" s="78"/>
      <c r="R492" s="78"/>
    </row>
    <row r="493" ht="14.25" customHeight="1">
      <c r="L493" s="91"/>
      <c r="M493" s="78"/>
      <c r="R493" s="78"/>
    </row>
    <row r="494" ht="14.25" customHeight="1">
      <c r="L494" s="91"/>
      <c r="M494" s="78"/>
      <c r="R494" s="78"/>
    </row>
    <row r="495" ht="14.25" customHeight="1">
      <c r="L495" s="91"/>
      <c r="M495" s="78"/>
      <c r="R495" s="78"/>
    </row>
    <row r="496" ht="14.25" customHeight="1">
      <c r="L496" s="91"/>
      <c r="M496" s="78"/>
      <c r="R496" s="78"/>
    </row>
    <row r="497" ht="14.25" customHeight="1">
      <c r="L497" s="91"/>
      <c r="M497" s="78"/>
      <c r="R497" s="78"/>
    </row>
    <row r="498" ht="14.25" customHeight="1">
      <c r="L498" s="91"/>
      <c r="M498" s="78"/>
      <c r="R498" s="78"/>
    </row>
    <row r="499" ht="14.25" customHeight="1">
      <c r="L499" s="91"/>
      <c r="M499" s="78"/>
      <c r="R499" s="78"/>
    </row>
    <row r="500" ht="14.25" customHeight="1">
      <c r="L500" s="91"/>
      <c r="M500" s="78"/>
      <c r="R500" s="78"/>
    </row>
    <row r="501" ht="14.25" customHeight="1">
      <c r="L501" s="91"/>
      <c r="M501" s="78"/>
      <c r="R501" s="78"/>
    </row>
    <row r="502" ht="14.25" customHeight="1">
      <c r="L502" s="91"/>
      <c r="M502" s="78"/>
      <c r="R502" s="78"/>
    </row>
    <row r="503" ht="14.25" customHeight="1">
      <c r="L503" s="91"/>
      <c r="M503" s="78"/>
      <c r="R503" s="78"/>
    </row>
    <row r="504" ht="14.25" customHeight="1">
      <c r="L504" s="91"/>
      <c r="M504" s="78"/>
      <c r="R504" s="78"/>
    </row>
    <row r="505" ht="14.25" customHeight="1">
      <c r="L505" s="91"/>
      <c r="M505" s="78"/>
      <c r="R505" s="78"/>
    </row>
    <row r="506" ht="14.25" customHeight="1">
      <c r="L506" s="91"/>
      <c r="M506" s="78"/>
      <c r="R506" s="78"/>
    </row>
    <row r="507" ht="14.25" customHeight="1">
      <c r="L507" s="91"/>
      <c r="M507" s="78"/>
      <c r="R507" s="78"/>
    </row>
    <row r="508" ht="14.25" customHeight="1">
      <c r="L508" s="91"/>
      <c r="M508" s="78"/>
      <c r="R508" s="78"/>
    </row>
    <row r="509" ht="14.25" customHeight="1">
      <c r="L509" s="91"/>
      <c r="M509" s="78"/>
      <c r="R509" s="78"/>
    </row>
    <row r="510" ht="14.25" customHeight="1">
      <c r="L510" s="91"/>
      <c r="M510" s="78"/>
      <c r="R510" s="78"/>
    </row>
    <row r="511" ht="14.25" customHeight="1">
      <c r="L511" s="91"/>
      <c r="M511" s="78"/>
      <c r="R511" s="78"/>
    </row>
    <row r="512" ht="14.25" customHeight="1">
      <c r="L512" s="91"/>
      <c r="M512" s="78"/>
      <c r="R512" s="78"/>
    </row>
    <row r="513" ht="14.25" customHeight="1">
      <c r="L513" s="91"/>
      <c r="M513" s="78"/>
      <c r="R513" s="78"/>
    </row>
    <row r="514" ht="14.25" customHeight="1">
      <c r="L514" s="91"/>
      <c r="M514" s="78"/>
      <c r="R514" s="78"/>
    </row>
    <row r="515" ht="14.25" customHeight="1">
      <c r="L515" s="91"/>
      <c r="M515" s="78"/>
      <c r="R515" s="78"/>
    </row>
    <row r="516" ht="14.25" customHeight="1">
      <c r="L516" s="91"/>
      <c r="M516" s="78"/>
      <c r="R516" s="78"/>
    </row>
    <row r="517" ht="14.25" customHeight="1">
      <c r="L517" s="91"/>
      <c r="M517" s="78"/>
      <c r="R517" s="78"/>
    </row>
    <row r="518" ht="14.25" customHeight="1">
      <c r="L518" s="91"/>
      <c r="M518" s="78"/>
      <c r="R518" s="78"/>
    </row>
    <row r="519" ht="14.25" customHeight="1">
      <c r="L519" s="91"/>
      <c r="M519" s="78"/>
      <c r="R519" s="78"/>
    </row>
    <row r="520" ht="14.25" customHeight="1">
      <c r="L520" s="91"/>
      <c r="M520" s="78"/>
      <c r="R520" s="78"/>
    </row>
    <row r="521" ht="14.25" customHeight="1">
      <c r="L521" s="91"/>
      <c r="M521" s="78"/>
      <c r="R521" s="78"/>
    </row>
    <row r="522" ht="14.25" customHeight="1">
      <c r="L522" s="91"/>
      <c r="M522" s="78"/>
      <c r="R522" s="78"/>
    </row>
    <row r="523" ht="14.25" customHeight="1">
      <c r="L523" s="91"/>
      <c r="M523" s="78"/>
      <c r="R523" s="78"/>
    </row>
    <row r="524" ht="14.25" customHeight="1">
      <c r="L524" s="91"/>
      <c r="M524" s="78"/>
      <c r="R524" s="78"/>
    </row>
    <row r="525" ht="14.25" customHeight="1">
      <c r="L525" s="91"/>
      <c r="M525" s="78"/>
      <c r="R525" s="78"/>
    </row>
    <row r="526" ht="14.25" customHeight="1">
      <c r="L526" s="91"/>
      <c r="M526" s="78"/>
      <c r="R526" s="78"/>
    </row>
    <row r="527" ht="14.25" customHeight="1">
      <c r="L527" s="91"/>
      <c r="M527" s="78"/>
      <c r="R527" s="78"/>
    </row>
    <row r="528" ht="14.25" customHeight="1">
      <c r="L528" s="91"/>
      <c r="M528" s="78"/>
      <c r="R528" s="78"/>
    </row>
    <row r="529" ht="14.25" customHeight="1">
      <c r="L529" s="91"/>
      <c r="M529" s="78"/>
      <c r="R529" s="78"/>
    </row>
    <row r="530" ht="14.25" customHeight="1">
      <c r="L530" s="91"/>
      <c r="M530" s="78"/>
      <c r="R530" s="78"/>
    </row>
    <row r="531" ht="14.25" customHeight="1">
      <c r="L531" s="91"/>
      <c r="M531" s="78"/>
      <c r="R531" s="78"/>
    </row>
    <row r="532" ht="14.25" customHeight="1">
      <c r="L532" s="91"/>
      <c r="M532" s="78"/>
      <c r="R532" s="78"/>
    </row>
    <row r="533" ht="14.25" customHeight="1">
      <c r="L533" s="91"/>
      <c r="M533" s="78"/>
      <c r="R533" s="78"/>
    </row>
    <row r="534" ht="14.25" customHeight="1">
      <c r="L534" s="91"/>
      <c r="M534" s="78"/>
      <c r="R534" s="78"/>
    </row>
    <row r="535" ht="14.25" customHeight="1">
      <c r="L535" s="91"/>
      <c r="M535" s="78"/>
      <c r="R535" s="78"/>
    </row>
    <row r="536" ht="14.25" customHeight="1">
      <c r="L536" s="91"/>
      <c r="M536" s="78"/>
      <c r="R536" s="78"/>
    </row>
    <row r="537" ht="14.25" customHeight="1">
      <c r="L537" s="91"/>
      <c r="M537" s="78"/>
      <c r="R537" s="78"/>
    </row>
    <row r="538" ht="14.25" customHeight="1">
      <c r="L538" s="91"/>
      <c r="M538" s="78"/>
      <c r="R538" s="78"/>
    </row>
    <row r="539" ht="14.25" customHeight="1">
      <c r="L539" s="91"/>
      <c r="M539" s="78"/>
      <c r="R539" s="78"/>
    </row>
    <row r="540" ht="14.25" customHeight="1">
      <c r="L540" s="91"/>
      <c r="M540" s="78"/>
      <c r="R540" s="78"/>
    </row>
    <row r="541" ht="14.25" customHeight="1">
      <c r="L541" s="91"/>
      <c r="M541" s="78"/>
      <c r="R541" s="78"/>
    </row>
    <row r="542" ht="14.25" customHeight="1">
      <c r="L542" s="91"/>
      <c r="M542" s="78"/>
      <c r="R542" s="78"/>
    </row>
    <row r="543" ht="14.25" customHeight="1">
      <c r="L543" s="91"/>
      <c r="M543" s="78"/>
      <c r="R543" s="78"/>
    </row>
    <row r="544" ht="14.25" customHeight="1">
      <c r="L544" s="91"/>
      <c r="M544" s="78"/>
      <c r="R544" s="78"/>
    </row>
    <row r="545" ht="14.25" customHeight="1">
      <c r="L545" s="91"/>
      <c r="M545" s="78"/>
      <c r="R545" s="78"/>
    </row>
    <row r="546" ht="14.25" customHeight="1">
      <c r="L546" s="91"/>
      <c r="M546" s="78"/>
      <c r="R546" s="78"/>
    </row>
    <row r="547" ht="14.25" customHeight="1">
      <c r="L547" s="91"/>
      <c r="M547" s="78"/>
      <c r="R547" s="78"/>
    </row>
    <row r="548" ht="14.25" customHeight="1">
      <c r="L548" s="91"/>
      <c r="M548" s="78"/>
      <c r="R548" s="78"/>
    </row>
    <row r="549" ht="14.25" customHeight="1">
      <c r="L549" s="91"/>
      <c r="M549" s="78"/>
      <c r="R549" s="78"/>
    </row>
    <row r="550" ht="14.25" customHeight="1">
      <c r="L550" s="91"/>
      <c r="M550" s="78"/>
      <c r="R550" s="78"/>
    </row>
    <row r="551" ht="14.25" customHeight="1">
      <c r="L551" s="91"/>
      <c r="M551" s="78"/>
      <c r="R551" s="78"/>
    </row>
    <row r="552" ht="14.25" customHeight="1">
      <c r="L552" s="91"/>
      <c r="M552" s="78"/>
      <c r="R552" s="78"/>
    </row>
    <row r="553" ht="14.25" customHeight="1">
      <c r="L553" s="91"/>
      <c r="M553" s="78"/>
      <c r="R553" s="78"/>
    </row>
    <row r="554" ht="14.25" customHeight="1">
      <c r="L554" s="91"/>
      <c r="M554" s="78"/>
      <c r="R554" s="78"/>
    </row>
    <row r="555" ht="14.25" customHeight="1">
      <c r="L555" s="91"/>
      <c r="M555" s="78"/>
      <c r="R555" s="78"/>
    </row>
    <row r="556" ht="14.25" customHeight="1">
      <c r="L556" s="91"/>
      <c r="M556" s="78"/>
      <c r="R556" s="78"/>
    </row>
    <row r="557" ht="14.25" customHeight="1">
      <c r="L557" s="91"/>
      <c r="M557" s="78"/>
      <c r="R557" s="78"/>
    </row>
    <row r="558" ht="14.25" customHeight="1">
      <c r="L558" s="91"/>
      <c r="M558" s="78"/>
      <c r="R558" s="78"/>
    </row>
    <row r="559" ht="14.25" customHeight="1">
      <c r="L559" s="91"/>
      <c r="M559" s="78"/>
      <c r="R559" s="78"/>
    </row>
    <row r="560" ht="14.25" customHeight="1">
      <c r="L560" s="91"/>
      <c r="M560" s="78"/>
      <c r="R560" s="78"/>
    </row>
    <row r="561" ht="14.25" customHeight="1">
      <c r="L561" s="91"/>
      <c r="M561" s="78"/>
      <c r="R561" s="78"/>
    </row>
    <row r="562" ht="14.25" customHeight="1">
      <c r="L562" s="91"/>
      <c r="M562" s="78"/>
      <c r="R562" s="78"/>
    </row>
    <row r="563" ht="14.25" customHeight="1">
      <c r="L563" s="91"/>
      <c r="M563" s="78"/>
      <c r="R563" s="78"/>
    </row>
    <row r="564" ht="14.25" customHeight="1">
      <c r="L564" s="91"/>
      <c r="M564" s="78"/>
      <c r="R564" s="78"/>
    </row>
    <row r="565" ht="14.25" customHeight="1">
      <c r="L565" s="91"/>
      <c r="M565" s="78"/>
      <c r="R565" s="78"/>
    </row>
    <row r="566" ht="14.25" customHeight="1">
      <c r="L566" s="91"/>
      <c r="M566" s="78"/>
      <c r="R566" s="78"/>
    </row>
    <row r="567" ht="14.25" customHeight="1">
      <c r="L567" s="91"/>
      <c r="M567" s="78"/>
      <c r="R567" s="78"/>
    </row>
    <row r="568" ht="14.25" customHeight="1">
      <c r="L568" s="91"/>
      <c r="M568" s="78"/>
      <c r="R568" s="78"/>
    </row>
    <row r="569" ht="14.25" customHeight="1">
      <c r="L569" s="91"/>
      <c r="M569" s="78"/>
      <c r="R569" s="78"/>
    </row>
    <row r="570" ht="14.25" customHeight="1">
      <c r="L570" s="91"/>
      <c r="M570" s="78"/>
      <c r="R570" s="78"/>
    </row>
    <row r="571" ht="14.25" customHeight="1">
      <c r="L571" s="91"/>
      <c r="M571" s="78"/>
      <c r="R571" s="78"/>
    </row>
    <row r="572" ht="14.25" customHeight="1">
      <c r="L572" s="91"/>
      <c r="M572" s="78"/>
      <c r="R572" s="78"/>
    </row>
    <row r="573" ht="14.25" customHeight="1">
      <c r="L573" s="91"/>
      <c r="M573" s="78"/>
      <c r="R573" s="78"/>
    </row>
    <row r="574" ht="14.25" customHeight="1">
      <c r="L574" s="91"/>
      <c r="M574" s="78"/>
      <c r="R574" s="78"/>
    </row>
    <row r="575" ht="14.25" customHeight="1">
      <c r="L575" s="91"/>
      <c r="M575" s="78"/>
      <c r="R575" s="78"/>
    </row>
    <row r="576" ht="14.25" customHeight="1">
      <c r="L576" s="91"/>
      <c r="M576" s="78"/>
      <c r="R576" s="78"/>
    </row>
    <row r="577" ht="14.25" customHeight="1">
      <c r="L577" s="91"/>
      <c r="M577" s="78"/>
      <c r="R577" s="78"/>
    </row>
    <row r="578" ht="14.25" customHeight="1">
      <c r="L578" s="91"/>
      <c r="M578" s="78"/>
      <c r="R578" s="78"/>
    </row>
    <row r="579" ht="14.25" customHeight="1">
      <c r="L579" s="91"/>
      <c r="M579" s="78"/>
      <c r="R579" s="78"/>
    </row>
    <row r="580" ht="14.25" customHeight="1">
      <c r="L580" s="91"/>
      <c r="M580" s="78"/>
      <c r="R580" s="78"/>
    </row>
    <row r="581" ht="14.25" customHeight="1">
      <c r="L581" s="91"/>
      <c r="M581" s="78"/>
      <c r="R581" s="78"/>
    </row>
    <row r="582" ht="14.25" customHeight="1">
      <c r="L582" s="91"/>
      <c r="M582" s="78"/>
      <c r="R582" s="78"/>
    </row>
    <row r="583" ht="14.25" customHeight="1">
      <c r="L583" s="91"/>
      <c r="M583" s="78"/>
      <c r="R583" s="78"/>
    </row>
    <row r="584" ht="14.25" customHeight="1">
      <c r="L584" s="91"/>
      <c r="M584" s="78"/>
      <c r="R584" s="78"/>
    </row>
    <row r="585" ht="14.25" customHeight="1">
      <c r="L585" s="91"/>
      <c r="M585" s="78"/>
      <c r="R585" s="78"/>
    </row>
    <row r="586" ht="14.25" customHeight="1">
      <c r="L586" s="91"/>
      <c r="M586" s="78"/>
      <c r="R586" s="78"/>
    </row>
    <row r="587" ht="14.25" customHeight="1">
      <c r="L587" s="91"/>
      <c r="M587" s="78"/>
      <c r="R587" s="78"/>
    </row>
    <row r="588" ht="14.25" customHeight="1">
      <c r="L588" s="91"/>
      <c r="M588" s="78"/>
      <c r="R588" s="78"/>
    </row>
    <row r="589" ht="14.25" customHeight="1">
      <c r="L589" s="91"/>
      <c r="M589" s="78"/>
      <c r="R589" s="78"/>
    </row>
    <row r="590" ht="14.25" customHeight="1">
      <c r="L590" s="91"/>
      <c r="M590" s="78"/>
      <c r="R590" s="78"/>
    </row>
    <row r="591" ht="14.25" customHeight="1">
      <c r="L591" s="91"/>
      <c r="M591" s="78"/>
      <c r="R591" s="78"/>
    </row>
    <row r="592" ht="14.25" customHeight="1">
      <c r="L592" s="91"/>
      <c r="M592" s="78"/>
      <c r="R592" s="78"/>
    </row>
    <row r="593" ht="14.25" customHeight="1">
      <c r="L593" s="91"/>
      <c r="M593" s="78"/>
      <c r="R593" s="78"/>
    </row>
    <row r="594" ht="14.25" customHeight="1">
      <c r="L594" s="91"/>
      <c r="M594" s="78"/>
      <c r="R594" s="78"/>
    </row>
    <row r="595" ht="14.25" customHeight="1">
      <c r="L595" s="91"/>
      <c r="M595" s="78"/>
      <c r="R595" s="78"/>
    </row>
    <row r="596" ht="14.25" customHeight="1">
      <c r="L596" s="91"/>
      <c r="M596" s="78"/>
      <c r="R596" s="78"/>
    </row>
    <row r="597" ht="14.25" customHeight="1">
      <c r="L597" s="91"/>
      <c r="M597" s="78"/>
      <c r="R597" s="78"/>
    </row>
    <row r="598" ht="14.25" customHeight="1">
      <c r="L598" s="91"/>
      <c r="M598" s="78"/>
      <c r="R598" s="78"/>
    </row>
    <row r="599" ht="14.25" customHeight="1">
      <c r="L599" s="91"/>
      <c r="M599" s="78"/>
      <c r="R599" s="78"/>
    </row>
    <row r="600" ht="14.25" customHeight="1">
      <c r="L600" s="91"/>
      <c r="M600" s="78"/>
      <c r="R600" s="78"/>
    </row>
    <row r="601" ht="14.25" customHeight="1">
      <c r="L601" s="91"/>
      <c r="M601" s="78"/>
      <c r="R601" s="78"/>
    </row>
    <row r="602" ht="14.25" customHeight="1">
      <c r="L602" s="91"/>
      <c r="M602" s="78"/>
      <c r="R602" s="78"/>
    </row>
    <row r="603" ht="14.25" customHeight="1">
      <c r="L603" s="91"/>
      <c r="M603" s="78"/>
      <c r="R603" s="78"/>
    </row>
    <row r="604" ht="14.25" customHeight="1">
      <c r="L604" s="91"/>
      <c r="M604" s="78"/>
      <c r="R604" s="78"/>
    </row>
    <row r="605" ht="14.25" customHeight="1">
      <c r="L605" s="91"/>
      <c r="M605" s="78"/>
      <c r="R605" s="78"/>
    </row>
    <row r="606" ht="14.25" customHeight="1">
      <c r="L606" s="91"/>
      <c r="M606" s="78"/>
      <c r="R606" s="78"/>
    </row>
    <row r="607" ht="14.25" customHeight="1">
      <c r="L607" s="91"/>
      <c r="M607" s="78"/>
      <c r="R607" s="78"/>
    </row>
    <row r="608" ht="14.25" customHeight="1">
      <c r="L608" s="91"/>
      <c r="M608" s="78"/>
      <c r="R608" s="78"/>
    </row>
    <row r="609" ht="14.25" customHeight="1">
      <c r="L609" s="91"/>
      <c r="M609" s="78"/>
      <c r="R609" s="78"/>
    </row>
    <row r="610" ht="14.25" customHeight="1">
      <c r="L610" s="91"/>
      <c r="M610" s="78"/>
      <c r="R610" s="78"/>
    </row>
    <row r="611" ht="14.25" customHeight="1">
      <c r="L611" s="91"/>
      <c r="M611" s="78"/>
      <c r="R611" s="78"/>
    </row>
    <row r="612" ht="14.25" customHeight="1">
      <c r="L612" s="91"/>
      <c r="M612" s="78"/>
      <c r="R612" s="78"/>
    </row>
    <row r="613" ht="14.25" customHeight="1">
      <c r="L613" s="91"/>
      <c r="M613" s="78"/>
      <c r="R613" s="78"/>
    </row>
    <row r="614" ht="14.25" customHeight="1">
      <c r="L614" s="91"/>
      <c r="M614" s="78"/>
      <c r="R614" s="78"/>
    </row>
    <row r="615" ht="14.25" customHeight="1">
      <c r="L615" s="91"/>
      <c r="M615" s="78"/>
      <c r="R615" s="78"/>
    </row>
    <row r="616" ht="14.25" customHeight="1">
      <c r="L616" s="91"/>
      <c r="M616" s="78"/>
      <c r="R616" s="78"/>
    </row>
    <row r="617" ht="14.25" customHeight="1">
      <c r="L617" s="91"/>
      <c r="M617" s="78"/>
      <c r="R617" s="78"/>
    </row>
    <row r="618" ht="14.25" customHeight="1">
      <c r="L618" s="91"/>
      <c r="M618" s="78"/>
      <c r="R618" s="78"/>
    </row>
    <row r="619" ht="14.25" customHeight="1">
      <c r="L619" s="91"/>
      <c r="M619" s="78"/>
      <c r="R619" s="78"/>
    </row>
    <row r="620" ht="14.25" customHeight="1">
      <c r="L620" s="91"/>
      <c r="M620" s="78"/>
      <c r="R620" s="78"/>
    </row>
    <row r="621" ht="14.25" customHeight="1">
      <c r="L621" s="91"/>
      <c r="M621" s="78"/>
      <c r="R621" s="78"/>
    </row>
    <row r="622" ht="14.25" customHeight="1">
      <c r="L622" s="91"/>
      <c r="M622" s="78"/>
      <c r="R622" s="78"/>
    </row>
    <row r="623" ht="14.25" customHeight="1">
      <c r="L623" s="91"/>
      <c r="M623" s="78"/>
      <c r="R623" s="78"/>
    </row>
    <row r="624" ht="14.25" customHeight="1">
      <c r="L624" s="91"/>
      <c r="M624" s="78"/>
      <c r="R624" s="78"/>
    </row>
    <row r="625" ht="14.25" customHeight="1">
      <c r="L625" s="91"/>
      <c r="M625" s="78"/>
      <c r="R625" s="78"/>
    </row>
    <row r="626" ht="14.25" customHeight="1">
      <c r="L626" s="91"/>
      <c r="M626" s="78"/>
      <c r="R626" s="78"/>
    </row>
    <row r="627" ht="14.25" customHeight="1">
      <c r="L627" s="91"/>
      <c r="M627" s="78"/>
      <c r="R627" s="78"/>
    </row>
    <row r="628" ht="14.25" customHeight="1">
      <c r="L628" s="91"/>
      <c r="M628" s="78"/>
      <c r="R628" s="78"/>
    </row>
    <row r="629" ht="14.25" customHeight="1">
      <c r="L629" s="91"/>
      <c r="M629" s="78"/>
      <c r="R629" s="78"/>
    </row>
    <row r="630" ht="14.25" customHeight="1">
      <c r="L630" s="91"/>
      <c r="M630" s="78"/>
      <c r="R630" s="78"/>
    </row>
    <row r="631" ht="14.25" customHeight="1">
      <c r="L631" s="91"/>
      <c r="M631" s="78"/>
      <c r="R631" s="78"/>
    </row>
    <row r="632" ht="14.25" customHeight="1">
      <c r="L632" s="91"/>
      <c r="M632" s="78"/>
      <c r="R632" s="78"/>
    </row>
    <row r="633" ht="14.25" customHeight="1">
      <c r="L633" s="91"/>
      <c r="M633" s="78"/>
      <c r="R633" s="78"/>
    </row>
    <row r="634" ht="14.25" customHeight="1">
      <c r="L634" s="91"/>
      <c r="M634" s="78"/>
      <c r="R634" s="78"/>
    </row>
    <row r="635" ht="14.25" customHeight="1">
      <c r="L635" s="91"/>
      <c r="M635" s="78"/>
      <c r="R635" s="78"/>
    </row>
    <row r="636" ht="14.25" customHeight="1">
      <c r="L636" s="91"/>
      <c r="M636" s="78"/>
      <c r="R636" s="78"/>
    </row>
    <row r="637" ht="14.25" customHeight="1">
      <c r="L637" s="91"/>
      <c r="M637" s="78"/>
      <c r="R637" s="78"/>
    </row>
    <row r="638" ht="14.25" customHeight="1">
      <c r="L638" s="91"/>
      <c r="M638" s="78"/>
      <c r="R638" s="78"/>
    </row>
    <row r="639" ht="14.25" customHeight="1">
      <c r="L639" s="91"/>
      <c r="M639" s="78"/>
      <c r="R639" s="78"/>
    </row>
    <row r="640" ht="14.25" customHeight="1">
      <c r="L640" s="91"/>
      <c r="M640" s="78"/>
      <c r="R640" s="78"/>
    </row>
    <row r="641" ht="14.25" customHeight="1">
      <c r="L641" s="91"/>
      <c r="M641" s="78"/>
      <c r="R641" s="78"/>
    </row>
    <row r="642" ht="14.25" customHeight="1">
      <c r="L642" s="91"/>
      <c r="M642" s="78"/>
      <c r="R642" s="78"/>
    </row>
    <row r="643" ht="14.25" customHeight="1">
      <c r="L643" s="91"/>
      <c r="M643" s="78"/>
      <c r="R643" s="78"/>
    </row>
    <row r="644" ht="14.25" customHeight="1">
      <c r="L644" s="91"/>
      <c r="M644" s="78"/>
      <c r="R644" s="78"/>
    </row>
    <row r="645" ht="14.25" customHeight="1">
      <c r="L645" s="91"/>
      <c r="M645" s="78"/>
      <c r="R645" s="78"/>
    </row>
    <row r="646" ht="14.25" customHeight="1">
      <c r="L646" s="91"/>
      <c r="M646" s="78"/>
      <c r="R646" s="78"/>
    </row>
    <row r="647" ht="14.25" customHeight="1">
      <c r="L647" s="91"/>
      <c r="M647" s="78"/>
      <c r="R647" s="78"/>
    </row>
    <row r="648" ht="14.25" customHeight="1">
      <c r="L648" s="91"/>
      <c r="M648" s="78"/>
      <c r="R648" s="78"/>
    </row>
    <row r="649" ht="14.25" customHeight="1">
      <c r="L649" s="91"/>
      <c r="M649" s="78"/>
      <c r="R649" s="78"/>
    </row>
    <row r="650" ht="14.25" customHeight="1">
      <c r="L650" s="91"/>
      <c r="M650" s="78"/>
      <c r="R650" s="78"/>
    </row>
    <row r="651" ht="14.25" customHeight="1">
      <c r="L651" s="91"/>
      <c r="M651" s="78"/>
      <c r="R651" s="78"/>
    </row>
    <row r="652" ht="14.25" customHeight="1">
      <c r="L652" s="91"/>
      <c r="M652" s="78"/>
      <c r="R652" s="78"/>
    </row>
    <row r="653" ht="14.25" customHeight="1">
      <c r="L653" s="91"/>
      <c r="M653" s="78"/>
      <c r="R653" s="78"/>
    </row>
    <row r="654" ht="14.25" customHeight="1">
      <c r="L654" s="91"/>
      <c r="M654" s="78"/>
      <c r="R654" s="78"/>
    </row>
    <row r="655" ht="14.25" customHeight="1">
      <c r="L655" s="91"/>
      <c r="M655" s="78"/>
      <c r="R655" s="78"/>
    </row>
    <row r="656" ht="14.25" customHeight="1">
      <c r="L656" s="91"/>
      <c r="M656" s="78"/>
      <c r="R656" s="78"/>
    </row>
    <row r="657" ht="14.25" customHeight="1">
      <c r="L657" s="91"/>
      <c r="M657" s="78"/>
      <c r="R657" s="78"/>
    </row>
    <row r="658" ht="14.25" customHeight="1">
      <c r="L658" s="91"/>
      <c r="M658" s="78"/>
      <c r="R658" s="78"/>
    </row>
    <row r="659" ht="14.25" customHeight="1">
      <c r="L659" s="91"/>
      <c r="M659" s="78"/>
      <c r="R659" s="78"/>
    </row>
    <row r="660" ht="14.25" customHeight="1">
      <c r="L660" s="91"/>
      <c r="M660" s="78"/>
      <c r="R660" s="78"/>
    </row>
    <row r="661" ht="14.25" customHeight="1">
      <c r="L661" s="91"/>
      <c r="M661" s="78"/>
      <c r="R661" s="78"/>
    </row>
    <row r="662" ht="14.25" customHeight="1">
      <c r="L662" s="91"/>
      <c r="M662" s="78"/>
      <c r="R662" s="78"/>
    </row>
    <row r="663" ht="14.25" customHeight="1">
      <c r="L663" s="91"/>
      <c r="M663" s="78"/>
      <c r="R663" s="78"/>
    </row>
    <row r="664" ht="14.25" customHeight="1">
      <c r="L664" s="91"/>
      <c r="M664" s="78"/>
      <c r="R664" s="78"/>
    </row>
    <row r="665" ht="14.25" customHeight="1">
      <c r="L665" s="91"/>
      <c r="M665" s="78"/>
      <c r="R665" s="78"/>
    </row>
    <row r="666" ht="14.25" customHeight="1">
      <c r="L666" s="91"/>
      <c r="M666" s="78"/>
      <c r="R666" s="78"/>
    </row>
    <row r="667" ht="14.25" customHeight="1">
      <c r="L667" s="91"/>
      <c r="M667" s="78"/>
      <c r="R667" s="78"/>
    </row>
    <row r="668" ht="14.25" customHeight="1">
      <c r="L668" s="91"/>
      <c r="M668" s="78"/>
      <c r="R668" s="78"/>
    </row>
    <row r="669" ht="14.25" customHeight="1">
      <c r="L669" s="91"/>
      <c r="M669" s="78"/>
      <c r="R669" s="78"/>
    </row>
    <row r="670" ht="14.25" customHeight="1">
      <c r="L670" s="91"/>
      <c r="M670" s="78"/>
      <c r="R670" s="78"/>
    </row>
    <row r="671" ht="14.25" customHeight="1">
      <c r="L671" s="91"/>
      <c r="M671" s="78"/>
      <c r="R671" s="78"/>
    </row>
    <row r="672" ht="14.25" customHeight="1">
      <c r="L672" s="91"/>
      <c r="M672" s="78"/>
      <c r="R672" s="78"/>
    </row>
    <row r="673" ht="14.25" customHeight="1">
      <c r="L673" s="91"/>
      <c r="M673" s="78"/>
      <c r="R673" s="78"/>
    </row>
    <row r="674" ht="14.25" customHeight="1">
      <c r="L674" s="91"/>
      <c r="M674" s="78"/>
      <c r="R674" s="78"/>
    </row>
    <row r="675" ht="14.25" customHeight="1">
      <c r="L675" s="91"/>
      <c r="M675" s="78"/>
      <c r="R675" s="78"/>
    </row>
    <row r="676" ht="14.25" customHeight="1">
      <c r="L676" s="91"/>
      <c r="M676" s="78"/>
      <c r="R676" s="78"/>
    </row>
    <row r="677" ht="14.25" customHeight="1">
      <c r="L677" s="91"/>
      <c r="M677" s="78"/>
      <c r="R677" s="78"/>
    </row>
    <row r="678" ht="14.25" customHeight="1">
      <c r="L678" s="91"/>
      <c r="M678" s="78"/>
      <c r="R678" s="78"/>
    </row>
    <row r="679" ht="14.25" customHeight="1">
      <c r="L679" s="91"/>
      <c r="M679" s="78"/>
      <c r="R679" s="78"/>
    </row>
    <row r="680" ht="14.25" customHeight="1">
      <c r="L680" s="91"/>
      <c r="M680" s="78"/>
      <c r="R680" s="78"/>
    </row>
    <row r="681" ht="14.25" customHeight="1">
      <c r="L681" s="91"/>
      <c r="M681" s="78"/>
      <c r="R681" s="78"/>
    </row>
    <row r="682" ht="14.25" customHeight="1">
      <c r="L682" s="91"/>
      <c r="M682" s="78"/>
      <c r="R682" s="78"/>
    </row>
    <row r="683" ht="14.25" customHeight="1">
      <c r="L683" s="91"/>
      <c r="M683" s="78"/>
      <c r="R683" s="78"/>
    </row>
    <row r="684" ht="14.25" customHeight="1">
      <c r="L684" s="91"/>
      <c r="M684" s="78"/>
      <c r="R684" s="78"/>
    </row>
    <row r="685" ht="14.25" customHeight="1">
      <c r="L685" s="91"/>
      <c r="M685" s="78"/>
      <c r="R685" s="78"/>
    </row>
    <row r="686" ht="14.25" customHeight="1">
      <c r="L686" s="91"/>
      <c r="M686" s="78"/>
      <c r="R686" s="78"/>
    </row>
    <row r="687" ht="14.25" customHeight="1">
      <c r="L687" s="91"/>
      <c r="M687" s="78"/>
      <c r="R687" s="78"/>
    </row>
    <row r="688" ht="14.25" customHeight="1">
      <c r="L688" s="91"/>
      <c r="M688" s="78"/>
      <c r="R688" s="78"/>
    </row>
    <row r="689" ht="14.25" customHeight="1">
      <c r="L689" s="91"/>
      <c r="M689" s="78"/>
      <c r="R689" s="78"/>
    </row>
    <row r="690" ht="14.25" customHeight="1">
      <c r="L690" s="91"/>
      <c r="M690" s="78"/>
      <c r="R690" s="78"/>
    </row>
    <row r="691" ht="14.25" customHeight="1">
      <c r="L691" s="91"/>
      <c r="M691" s="78"/>
      <c r="R691" s="78"/>
    </row>
    <row r="692" ht="14.25" customHeight="1">
      <c r="L692" s="91"/>
      <c r="M692" s="78"/>
      <c r="R692" s="78"/>
    </row>
    <row r="693" ht="14.25" customHeight="1">
      <c r="L693" s="91"/>
      <c r="M693" s="78"/>
      <c r="R693" s="78"/>
    </row>
    <row r="694" ht="14.25" customHeight="1">
      <c r="L694" s="91"/>
      <c r="M694" s="78"/>
      <c r="R694" s="78"/>
    </row>
    <row r="695" ht="14.25" customHeight="1">
      <c r="L695" s="91"/>
      <c r="M695" s="78"/>
      <c r="R695" s="78"/>
    </row>
    <row r="696" ht="14.25" customHeight="1">
      <c r="L696" s="91"/>
      <c r="M696" s="78"/>
      <c r="R696" s="78"/>
    </row>
    <row r="697" ht="14.25" customHeight="1">
      <c r="L697" s="91"/>
      <c r="M697" s="78"/>
      <c r="R697" s="78"/>
    </row>
    <row r="698" ht="14.25" customHeight="1">
      <c r="L698" s="91"/>
      <c r="M698" s="78"/>
      <c r="R698" s="78"/>
    </row>
    <row r="699" ht="14.25" customHeight="1">
      <c r="L699" s="91"/>
      <c r="M699" s="78"/>
      <c r="R699" s="78"/>
    </row>
    <row r="700" ht="14.25" customHeight="1">
      <c r="L700" s="91"/>
      <c r="M700" s="78"/>
      <c r="R700" s="78"/>
    </row>
    <row r="701" ht="14.25" customHeight="1">
      <c r="L701" s="91"/>
      <c r="M701" s="78"/>
      <c r="R701" s="78"/>
    </row>
    <row r="702" ht="14.25" customHeight="1">
      <c r="L702" s="91"/>
      <c r="M702" s="78"/>
      <c r="R702" s="78"/>
    </row>
    <row r="703" ht="14.25" customHeight="1">
      <c r="L703" s="91"/>
      <c r="M703" s="78"/>
      <c r="R703" s="78"/>
    </row>
    <row r="704" ht="14.25" customHeight="1">
      <c r="L704" s="91"/>
      <c r="M704" s="78"/>
      <c r="R704" s="78"/>
    </row>
    <row r="705" ht="14.25" customHeight="1">
      <c r="L705" s="91"/>
      <c r="M705" s="78"/>
      <c r="R705" s="78"/>
    </row>
    <row r="706" ht="14.25" customHeight="1">
      <c r="L706" s="91"/>
      <c r="M706" s="78"/>
      <c r="R706" s="78"/>
    </row>
    <row r="707" ht="14.25" customHeight="1">
      <c r="L707" s="91"/>
      <c r="M707" s="78"/>
      <c r="R707" s="78"/>
    </row>
    <row r="708" ht="14.25" customHeight="1">
      <c r="L708" s="91"/>
      <c r="M708" s="78"/>
      <c r="R708" s="78"/>
    </row>
    <row r="709" ht="14.25" customHeight="1">
      <c r="L709" s="91"/>
      <c r="M709" s="78"/>
      <c r="R709" s="78"/>
    </row>
    <row r="710" ht="14.25" customHeight="1">
      <c r="L710" s="91"/>
      <c r="M710" s="78"/>
      <c r="R710" s="78"/>
    </row>
    <row r="711" ht="14.25" customHeight="1">
      <c r="L711" s="91"/>
      <c r="M711" s="78"/>
      <c r="R711" s="78"/>
    </row>
    <row r="712" ht="14.25" customHeight="1">
      <c r="L712" s="91"/>
      <c r="M712" s="78"/>
      <c r="R712" s="78"/>
    </row>
    <row r="713" ht="14.25" customHeight="1">
      <c r="L713" s="91"/>
      <c r="M713" s="78"/>
      <c r="R713" s="78"/>
    </row>
    <row r="714" ht="14.25" customHeight="1">
      <c r="L714" s="91"/>
      <c r="M714" s="78"/>
      <c r="R714" s="78"/>
    </row>
    <row r="715" ht="14.25" customHeight="1">
      <c r="L715" s="91"/>
      <c r="M715" s="78"/>
      <c r="R715" s="78"/>
    </row>
    <row r="716" ht="14.25" customHeight="1">
      <c r="L716" s="91"/>
      <c r="M716" s="78"/>
      <c r="R716" s="78"/>
    </row>
    <row r="717" ht="14.25" customHeight="1">
      <c r="L717" s="91"/>
      <c r="M717" s="78"/>
      <c r="R717" s="78"/>
    </row>
    <row r="718" ht="14.25" customHeight="1">
      <c r="L718" s="91"/>
      <c r="M718" s="78"/>
      <c r="R718" s="78"/>
    </row>
    <row r="719" ht="14.25" customHeight="1">
      <c r="L719" s="91"/>
      <c r="M719" s="78"/>
      <c r="R719" s="78"/>
    </row>
    <row r="720" ht="14.25" customHeight="1">
      <c r="L720" s="91"/>
      <c r="M720" s="78"/>
      <c r="R720" s="78"/>
    </row>
    <row r="721" ht="14.25" customHeight="1">
      <c r="L721" s="91"/>
      <c r="M721" s="78"/>
      <c r="R721" s="78"/>
    </row>
    <row r="722" ht="14.25" customHeight="1">
      <c r="L722" s="91"/>
      <c r="M722" s="78"/>
      <c r="R722" s="78"/>
    </row>
    <row r="723" ht="14.25" customHeight="1">
      <c r="L723" s="91"/>
      <c r="M723" s="78"/>
      <c r="R723" s="78"/>
    </row>
    <row r="724" ht="14.25" customHeight="1">
      <c r="L724" s="91"/>
      <c r="M724" s="78"/>
      <c r="R724" s="78"/>
    </row>
    <row r="725" ht="14.25" customHeight="1">
      <c r="L725" s="91"/>
      <c r="M725" s="78"/>
      <c r="R725" s="78"/>
    </row>
    <row r="726" ht="14.25" customHeight="1">
      <c r="L726" s="91"/>
      <c r="M726" s="78"/>
      <c r="R726" s="78"/>
    </row>
    <row r="727" ht="14.25" customHeight="1">
      <c r="L727" s="91"/>
      <c r="M727" s="78"/>
      <c r="R727" s="78"/>
    </row>
    <row r="728" ht="14.25" customHeight="1">
      <c r="L728" s="91"/>
      <c r="M728" s="78"/>
      <c r="R728" s="78"/>
    </row>
    <row r="729" ht="14.25" customHeight="1">
      <c r="L729" s="91"/>
      <c r="M729" s="78"/>
      <c r="R729" s="78"/>
    </row>
    <row r="730" ht="14.25" customHeight="1">
      <c r="L730" s="91"/>
      <c r="M730" s="78"/>
      <c r="R730" s="78"/>
    </row>
    <row r="731" ht="14.25" customHeight="1">
      <c r="L731" s="91"/>
      <c r="M731" s="78"/>
      <c r="R731" s="78"/>
    </row>
    <row r="732" ht="14.25" customHeight="1">
      <c r="L732" s="91"/>
      <c r="M732" s="78"/>
      <c r="R732" s="78"/>
    </row>
    <row r="733" ht="14.25" customHeight="1">
      <c r="L733" s="91"/>
      <c r="M733" s="78"/>
      <c r="R733" s="78"/>
    </row>
    <row r="734" ht="14.25" customHeight="1">
      <c r="L734" s="91"/>
      <c r="M734" s="78"/>
      <c r="R734" s="78"/>
    </row>
    <row r="735" ht="14.25" customHeight="1">
      <c r="L735" s="91"/>
      <c r="M735" s="78"/>
      <c r="R735" s="78"/>
    </row>
    <row r="736" ht="14.25" customHeight="1">
      <c r="L736" s="91"/>
      <c r="M736" s="78"/>
      <c r="R736" s="78"/>
    </row>
    <row r="737" ht="14.25" customHeight="1">
      <c r="L737" s="91"/>
      <c r="M737" s="78"/>
      <c r="R737" s="78"/>
    </row>
    <row r="738" ht="14.25" customHeight="1">
      <c r="L738" s="91"/>
      <c r="M738" s="78"/>
      <c r="R738" s="78"/>
    </row>
    <row r="739" ht="14.25" customHeight="1">
      <c r="L739" s="91"/>
      <c r="M739" s="78"/>
      <c r="R739" s="78"/>
    </row>
    <row r="740" ht="14.25" customHeight="1">
      <c r="L740" s="91"/>
      <c r="M740" s="78"/>
      <c r="R740" s="78"/>
    </row>
    <row r="741" ht="14.25" customHeight="1">
      <c r="L741" s="91"/>
      <c r="M741" s="78"/>
      <c r="R741" s="78"/>
    </row>
    <row r="742" ht="14.25" customHeight="1">
      <c r="L742" s="91"/>
      <c r="M742" s="78"/>
      <c r="R742" s="78"/>
    </row>
    <row r="743" ht="14.25" customHeight="1">
      <c r="L743" s="91"/>
      <c r="M743" s="78"/>
      <c r="R743" s="78"/>
    </row>
    <row r="744" ht="14.25" customHeight="1">
      <c r="L744" s="91"/>
      <c r="M744" s="78"/>
      <c r="R744" s="78"/>
    </row>
    <row r="745" ht="14.25" customHeight="1">
      <c r="L745" s="91"/>
      <c r="M745" s="78"/>
      <c r="R745" s="78"/>
    </row>
    <row r="746" ht="14.25" customHeight="1">
      <c r="L746" s="91"/>
      <c r="M746" s="78"/>
      <c r="R746" s="78"/>
    </row>
    <row r="747" ht="14.25" customHeight="1">
      <c r="L747" s="91"/>
      <c r="M747" s="78"/>
      <c r="R747" s="78"/>
    </row>
    <row r="748" ht="14.25" customHeight="1">
      <c r="L748" s="91"/>
      <c r="M748" s="78"/>
      <c r="R748" s="78"/>
    </row>
    <row r="749" ht="14.25" customHeight="1">
      <c r="L749" s="91"/>
      <c r="M749" s="78"/>
      <c r="R749" s="78"/>
    </row>
    <row r="750" ht="14.25" customHeight="1">
      <c r="L750" s="91"/>
      <c r="M750" s="78"/>
      <c r="R750" s="78"/>
    </row>
    <row r="751" ht="14.25" customHeight="1">
      <c r="L751" s="91"/>
      <c r="M751" s="78"/>
      <c r="R751" s="78"/>
    </row>
    <row r="752" ht="14.25" customHeight="1">
      <c r="L752" s="91"/>
      <c r="M752" s="78"/>
      <c r="R752" s="78"/>
    </row>
    <row r="753" ht="14.25" customHeight="1">
      <c r="L753" s="91"/>
      <c r="M753" s="78"/>
      <c r="R753" s="78"/>
    </row>
    <row r="754" ht="14.25" customHeight="1">
      <c r="L754" s="91"/>
      <c r="M754" s="78"/>
      <c r="R754" s="78"/>
    </row>
    <row r="755" ht="14.25" customHeight="1">
      <c r="L755" s="91"/>
      <c r="M755" s="78"/>
      <c r="R755" s="78"/>
    </row>
    <row r="756" ht="14.25" customHeight="1">
      <c r="L756" s="91"/>
      <c r="M756" s="78"/>
      <c r="R756" s="78"/>
    </row>
    <row r="757" ht="14.25" customHeight="1">
      <c r="L757" s="91"/>
      <c r="M757" s="78"/>
      <c r="R757" s="78"/>
    </row>
    <row r="758" ht="14.25" customHeight="1">
      <c r="L758" s="91"/>
      <c r="M758" s="78"/>
      <c r="R758" s="78"/>
    </row>
    <row r="759" ht="14.25" customHeight="1">
      <c r="L759" s="91"/>
      <c r="M759" s="78"/>
      <c r="R759" s="78"/>
    </row>
    <row r="760" ht="14.25" customHeight="1">
      <c r="L760" s="91"/>
      <c r="M760" s="78"/>
      <c r="R760" s="78"/>
    </row>
    <row r="761" ht="14.25" customHeight="1">
      <c r="L761" s="91"/>
      <c r="M761" s="78"/>
      <c r="R761" s="78"/>
    </row>
    <row r="762" ht="14.25" customHeight="1">
      <c r="L762" s="91"/>
      <c r="M762" s="78"/>
      <c r="R762" s="78"/>
    </row>
    <row r="763" ht="14.25" customHeight="1">
      <c r="L763" s="91"/>
      <c r="M763" s="78"/>
      <c r="R763" s="78"/>
    </row>
    <row r="764" ht="14.25" customHeight="1">
      <c r="L764" s="91"/>
      <c r="M764" s="78"/>
      <c r="R764" s="78"/>
    </row>
    <row r="765" ht="14.25" customHeight="1">
      <c r="L765" s="91"/>
      <c r="M765" s="78"/>
      <c r="R765" s="78"/>
    </row>
    <row r="766" ht="14.25" customHeight="1">
      <c r="L766" s="91"/>
      <c r="M766" s="78"/>
      <c r="R766" s="78"/>
    </row>
    <row r="767" ht="14.25" customHeight="1">
      <c r="L767" s="91"/>
      <c r="M767" s="78"/>
      <c r="R767" s="78"/>
    </row>
    <row r="768" ht="14.25" customHeight="1">
      <c r="L768" s="91"/>
      <c r="M768" s="78"/>
      <c r="R768" s="78"/>
    </row>
    <row r="769" ht="14.25" customHeight="1">
      <c r="L769" s="91"/>
      <c r="M769" s="78"/>
      <c r="R769" s="78"/>
    </row>
    <row r="770" ht="14.25" customHeight="1">
      <c r="L770" s="91"/>
      <c r="M770" s="78"/>
      <c r="R770" s="78"/>
    </row>
    <row r="771" ht="14.25" customHeight="1">
      <c r="L771" s="91"/>
      <c r="M771" s="78"/>
      <c r="R771" s="78"/>
    </row>
    <row r="772" ht="14.25" customHeight="1">
      <c r="L772" s="91"/>
      <c r="M772" s="78"/>
      <c r="R772" s="78"/>
    </row>
    <row r="773" ht="14.25" customHeight="1">
      <c r="L773" s="91"/>
      <c r="M773" s="78"/>
      <c r="R773" s="78"/>
    </row>
    <row r="774" ht="14.25" customHeight="1">
      <c r="L774" s="91"/>
      <c r="M774" s="78"/>
      <c r="R774" s="78"/>
    </row>
    <row r="775" ht="14.25" customHeight="1">
      <c r="L775" s="91"/>
      <c r="M775" s="78"/>
      <c r="R775" s="78"/>
    </row>
    <row r="776" ht="14.25" customHeight="1">
      <c r="L776" s="91"/>
      <c r="M776" s="78"/>
      <c r="R776" s="78"/>
    </row>
    <row r="777" ht="14.25" customHeight="1">
      <c r="L777" s="91"/>
      <c r="M777" s="78"/>
      <c r="R777" s="78"/>
    </row>
    <row r="778" ht="14.25" customHeight="1">
      <c r="L778" s="91"/>
      <c r="M778" s="78"/>
      <c r="R778" s="78"/>
    </row>
    <row r="779" ht="14.25" customHeight="1">
      <c r="L779" s="91"/>
      <c r="M779" s="78"/>
      <c r="R779" s="78"/>
    </row>
    <row r="780" ht="14.25" customHeight="1">
      <c r="L780" s="91"/>
      <c r="M780" s="78"/>
      <c r="R780" s="78"/>
    </row>
    <row r="781" ht="14.25" customHeight="1">
      <c r="L781" s="91"/>
      <c r="M781" s="78"/>
      <c r="R781" s="78"/>
    </row>
    <row r="782" ht="14.25" customHeight="1">
      <c r="L782" s="91"/>
      <c r="M782" s="78"/>
      <c r="R782" s="78"/>
    </row>
    <row r="783" ht="14.25" customHeight="1">
      <c r="L783" s="91"/>
      <c r="M783" s="78"/>
      <c r="R783" s="78"/>
    </row>
    <row r="784" ht="14.25" customHeight="1">
      <c r="L784" s="91"/>
      <c r="M784" s="78"/>
      <c r="R784" s="78"/>
    </row>
    <row r="785" ht="14.25" customHeight="1">
      <c r="L785" s="91"/>
      <c r="M785" s="78"/>
      <c r="R785" s="78"/>
    </row>
    <row r="786" ht="14.25" customHeight="1">
      <c r="L786" s="91"/>
      <c r="M786" s="78"/>
      <c r="R786" s="78"/>
    </row>
    <row r="787" ht="14.25" customHeight="1">
      <c r="L787" s="91"/>
      <c r="M787" s="78"/>
      <c r="R787" s="78"/>
    </row>
    <row r="788" ht="14.25" customHeight="1">
      <c r="L788" s="91"/>
      <c r="M788" s="78"/>
      <c r="R788" s="78"/>
    </row>
    <row r="789" ht="14.25" customHeight="1">
      <c r="L789" s="91"/>
      <c r="M789" s="78"/>
      <c r="R789" s="78"/>
    </row>
    <row r="790" ht="14.25" customHeight="1">
      <c r="L790" s="91"/>
      <c r="M790" s="78"/>
      <c r="R790" s="78"/>
    </row>
    <row r="791" ht="14.25" customHeight="1">
      <c r="L791" s="91"/>
      <c r="M791" s="78"/>
      <c r="R791" s="78"/>
    </row>
    <row r="792" ht="14.25" customHeight="1">
      <c r="L792" s="91"/>
      <c r="M792" s="78"/>
      <c r="R792" s="78"/>
    </row>
    <row r="793" ht="14.25" customHeight="1">
      <c r="L793" s="91"/>
      <c r="M793" s="78"/>
      <c r="R793" s="78"/>
    </row>
    <row r="794" ht="14.25" customHeight="1">
      <c r="L794" s="91"/>
      <c r="M794" s="78"/>
      <c r="R794" s="78"/>
    </row>
    <row r="795" ht="14.25" customHeight="1">
      <c r="L795" s="91"/>
      <c r="M795" s="78"/>
      <c r="R795" s="78"/>
    </row>
    <row r="796" ht="14.25" customHeight="1">
      <c r="L796" s="91"/>
      <c r="M796" s="78"/>
      <c r="R796" s="78"/>
    </row>
    <row r="797" ht="14.25" customHeight="1">
      <c r="L797" s="91"/>
      <c r="M797" s="78"/>
      <c r="R797" s="78"/>
    </row>
    <row r="798" ht="14.25" customHeight="1">
      <c r="L798" s="91"/>
      <c r="M798" s="78"/>
      <c r="R798" s="78"/>
    </row>
    <row r="799" ht="14.25" customHeight="1">
      <c r="L799" s="91"/>
      <c r="M799" s="78"/>
      <c r="R799" s="78"/>
    </row>
    <row r="800" ht="14.25" customHeight="1">
      <c r="L800" s="91"/>
      <c r="M800" s="78"/>
      <c r="R800" s="78"/>
    </row>
    <row r="801" ht="14.25" customHeight="1">
      <c r="L801" s="91"/>
      <c r="M801" s="78"/>
      <c r="R801" s="78"/>
    </row>
    <row r="802" ht="14.25" customHeight="1">
      <c r="L802" s="91"/>
      <c r="M802" s="78"/>
      <c r="R802" s="78"/>
    </row>
    <row r="803" ht="14.25" customHeight="1">
      <c r="L803" s="91"/>
      <c r="M803" s="78"/>
      <c r="R803" s="78"/>
    </row>
    <row r="804" ht="14.25" customHeight="1">
      <c r="L804" s="91"/>
      <c r="M804" s="78"/>
      <c r="R804" s="78"/>
    </row>
    <row r="805" ht="14.25" customHeight="1">
      <c r="L805" s="91"/>
      <c r="M805" s="78"/>
      <c r="R805" s="78"/>
    </row>
    <row r="806" ht="14.25" customHeight="1">
      <c r="L806" s="91"/>
      <c r="M806" s="78"/>
      <c r="R806" s="78"/>
    </row>
    <row r="807" ht="14.25" customHeight="1">
      <c r="L807" s="91"/>
      <c r="M807" s="78"/>
      <c r="R807" s="78"/>
    </row>
    <row r="808" ht="14.25" customHeight="1">
      <c r="L808" s="91"/>
      <c r="M808" s="78"/>
      <c r="R808" s="78"/>
    </row>
    <row r="809" ht="14.25" customHeight="1">
      <c r="L809" s="91"/>
      <c r="M809" s="78"/>
      <c r="R809" s="78"/>
    </row>
    <row r="810" ht="14.25" customHeight="1">
      <c r="L810" s="91"/>
      <c r="M810" s="78"/>
      <c r="R810" s="78"/>
    </row>
    <row r="811" ht="14.25" customHeight="1">
      <c r="L811" s="91"/>
      <c r="M811" s="78"/>
      <c r="R811" s="78"/>
    </row>
    <row r="812" ht="14.25" customHeight="1">
      <c r="L812" s="91"/>
      <c r="M812" s="78"/>
      <c r="R812" s="78"/>
    </row>
    <row r="813" ht="14.25" customHeight="1">
      <c r="L813" s="91"/>
      <c r="M813" s="78"/>
      <c r="R813" s="78"/>
    </row>
    <row r="814" ht="14.25" customHeight="1">
      <c r="L814" s="91"/>
      <c r="M814" s="78"/>
      <c r="R814" s="78"/>
    </row>
    <row r="815" ht="14.25" customHeight="1">
      <c r="L815" s="91"/>
      <c r="M815" s="78"/>
      <c r="R815" s="78"/>
    </row>
    <row r="816" ht="14.25" customHeight="1">
      <c r="L816" s="91"/>
      <c r="M816" s="78"/>
      <c r="R816" s="78"/>
    </row>
    <row r="817" ht="14.25" customHeight="1">
      <c r="L817" s="91"/>
      <c r="M817" s="78"/>
      <c r="R817" s="78"/>
    </row>
    <row r="818" ht="14.25" customHeight="1">
      <c r="L818" s="91"/>
      <c r="M818" s="78"/>
      <c r="R818" s="78"/>
    </row>
    <row r="819" ht="14.25" customHeight="1">
      <c r="L819" s="91"/>
      <c r="M819" s="78"/>
      <c r="R819" s="78"/>
    </row>
    <row r="820" ht="14.25" customHeight="1">
      <c r="L820" s="91"/>
      <c r="M820" s="78"/>
      <c r="R820" s="78"/>
    </row>
    <row r="821" ht="14.25" customHeight="1">
      <c r="L821" s="91"/>
      <c r="M821" s="78"/>
      <c r="R821" s="78"/>
    </row>
    <row r="822" ht="14.25" customHeight="1">
      <c r="L822" s="91"/>
      <c r="M822" s="78"/>
      <c r="R822" s="78"/>
    </row>
    <row r="823" ht="14.25" customHeight="1">
      <c r="L823" s="91"/>
      <c r="M823" s="78"/>
      <c r="R823" s="78"/>
    </row>
    <row r="824" ht="14.25" customHeight="1">
      <c r="L824" s="91"/>
      <c r="M824" s="78"/>
      <c r="R824" s="78"/>
    </row>
    <row r="825" ht="14.25" customHeight="1">
      <c r="L825" s="91"/>
      <c r="M825" s="78"/>
      <c r="R825" s="78"/>
    </row>
    <row r="826" ht="14.25" customHeight="1">
      <c r="L826" s="91"/>
      <c r="M826" s="78"/>
      <c r="R826" s="78"/>
    </row>
    <row r="827" ht="14.25" customHeight="1">
      <c r="L827" s="91"/>
      <c r="M827" s="78"/>
      <c r="R827" s="78"/>
    </row>
    <row r="828" ht="14.25" customHeight="1">
      <c r="L828" s="91"/>
      <c r="M828" s="78"/>
      <c r="R828" s="78"/>
    </row>
    <row r="829" ht="14.25" customHeight="1">
      <c r="L829" s="91"/>
      <c r="M829" s="78"/>
      <c r="R829" s="78"/>
    </row>
    <row r="830" ht="14.25" customHeight="1">
      <c r="L830" s="91"/>
      <c r="M830" s="78"/>
      <c r="R830" s="78"/>
    </row>
    <row r="831" ht="14.25" customHeight="1">
      <c r="L831" s="91"/>
      <c r="M831" s="78"/>
      <c r="R831" s="78"/>
    </row>
    <row r="832" ht="14.25" customHeight="1">
      <c r="L832" s="91"/>
      <c r="M832" s="78"/>
      <c r="R832" s="78"/>
    </row>
    <row r="833" ht="14.25" customHeight="1">
      <c r="L833" s="91"/>
      <c r="M833" s="78"/>
      <c r="R833" s="78"/>
    </row>
    <row r="834" ht="14.25" customHeight="1">
      <c r="L834" s="91"/>
      <c r="M834" s="78"/>
      <c r="R834" s="78"/>
    </row>
    <row r="835" ht="14.25" customHeight="1">
      <c r="L835" s="91"/>
      <c r="M835" s="78"/>
      <c r="R835" s="78"/>
    </row>
    <row r="836" ht="14.25" customHeight="1">
      <c r="L836" s="91"/>
      <c r="M836" s="78"/>
      <c r="R836" s="78"/>
    </row>
    <row r="837" ht="14.25" customHeight="1">
      <c r="L837" s="91"/>
      <c r="M837" s="78"/>
      <c r="R837" s="78"/>
    </row>
    <row r="838" ht="14.25" customHeight="1">
      <c r="L838" s="91"/>
      <c r="M838" s="78"/>
      <c r="R838" s="78"/>
    </row>
    <row r="839" ht="14.25" customHeight="1">
      <c r="L839" s="91"/>
      <c r="M839" s="78"/>
      <c r="R839" s="78"/>
    </row>
    <row r="840" ht="14.25" customHeight="1">
      <c r="L840" s="91"/>
      <c r="M840" s="78"/>
      <c r="R840" s="78"/>
    </row>
    <row r="841" ht="14.25" customHeight="1">
      <c r="L841" s="91"/>
      <c r="M841" s="78"/>
      <c r="R841" s="78"/>
    </row>
    <row r="842" ht="14.25" customHeight="1">
      <c r="L842" s="91"/>
      <c r="M842" s="78"/>
      <c r="R842" s="78"/>
    </row>
    <row r="843" ht="14.25" customHeight="1">
      <c r="L843" s="91"/>
      <c r="M843" s="78"/>
      <c r="R843" s="78"/>
    </row>
    <row r="844" ht="14.25" customHeight="1">
      <c r="L844" s="91"/>
      <c r="M844" s="78"/>
      <c r="R844" s="78"/>
    </row>
    <row r="845" ht="14.25" customHeight="1">
      <c r="L845" s="91"/>
      <c r="M845" s="78"/>
      <c r="R845" s="78"/>
    </row>
    <row r="846" ht="14.25" customHeight="1">
      <c r="L846" s="91"/>
      <c r="M846" s="78"/>
      <c r="R846" s="78"/>
    </row>
    <row r="847" ht="14.25" customHeight="1">
      <c r="L847" s="91"/>
      <c r="M847" s="78"/>
      <c r="R847" s="78"/>
    </row>
    <row r="848" ht="14.25" customHeight="1">
      <c r="L848" s="91"/>
      <c r="M848" s="78"/>
      <c r="R848" s="78"/>
    </row>
    <row r="849" ht="14.25" customHeight="1">
      <c r="L849" s="91"/>
      <c r="M849" s="78"/>
      <c r="R849" s="78"/>
    </row>
    <row r="850" ht="14.25" customHeight="1">
      <c r="L850" s="91"/>
      <c r="M850" s="78"/>
      <c r="R850" s="78"/>
    </row>
    <row r="851" ht="14.25" customHeight="1">
      <c r="L851" s="91"/>
      <c r="M851" s="78"/>
      <c r="R851" s="78"/>
    </row>
    <row r="852" ht="14.25" customHeight="1">
      <c r="L852" s="91"/>
      <c r="M852" s="78"/>
      <c r="R852" s="78"/>
    </row>
    <row r="853" ht="14.25" customHeight="1">
      <c r="L853" s="91"/>
      <c r="M853" s="78"/>
      <c r="R853" s="78"/>
    </row>
    <row r="854" ht="14.25" customHeight="1">
      <c r="L854" s="91"/>
      <c r="M854" s="78"/>
      <c r="R854" s="78"/>
    </row>
    <row r="855" ht="14.25" customHeight="1">
      <c r="L855" s="91"/>
      <c r="M855" s="78"/>
      <c r="R855" s="78"/>
    </row>
    <row r="856" ht="14.25" customHeight="1">
      <c r="L856" s="91"/>
      <c r="M856" s="78"/>
      <c r="R856" s="78"/>
    </row>
    <row r="857" ht="14.25" customHeight="1">
      <c r="L857" s="91"/>
      <c r="M857" s="78"/>
      <c r="R857" s="78"/>
    </row>
    <row r="858" ht="14.25" customHeight="1">
      <c r="L858" s="91"/>
      <c r="M858" s="78"/>
      <c r="R858" s="78"/>
    </row>
    <row r="859" ht="14.25" customHeight="1">
      <c r="L859" s="91"/>
      <c r="M859" s="78"/>
      <c r="R859" s="78"/>
    </row>
    <row r="860" ht="14.25" customHeight="1">
      <c r="L860" s="91"/>
      <c r="M860" s="78"/>
      <c r="R860" s="78"/>
    </row>
    <row r="861" ht="14.25" customHeight="1">
      <c r="L861" s="91"/>
      <c r="M861" s="78"/>
      <c r="R861" s="78"/>
    </row>
    <row r="862" ht="14.25" customHeight="1">
      <c r="L862" s="91"/>
      <c r="M862" s="78"/>
      <c r="R862" s="78"/>
    </row>
    <row r="863" ht="14.25" customHeight="1">
      <c r="L863" s="91"/>
      <c r="M863" s="78"/>
      <c r="R863" s="78"/>
    </row>
    <row r="864" ht="14.25" customHeight="1">
      <c r="L864" s="91"/>
      <c r="M864" s="78"/>
      <c r="R864" s="78"/>
    </row>
    <row r="865" ht="14.25" customHeight="1">
      <c r="L865" s="91"/>
      <c r="M865" s="78"/>
      <c r="R865" s="78"/>
    </row>
    <row r="866" ht="14.25" customHeight="1">
      <c r="L866" s="91"/>
      <c r="M866" s="78"/>
      <c r="R866" s="78"/>
    </row>
    <row r="867" ht="14.25" customHeight="1">
      <c r="L867" s="91"/>
      <c r="M867" s="78"/>
      <c r="R867" s="78"/>
    </row>
    <row r="868" ht="14.25" customHeight="1">
      <c r="L868" s="91"/>
      <c r="M868" s="78"/>
      <c r="R868" s="78"/>
    </row>
    <row r="869" ht="14.25" customHeight="1">
      <c r="L869" s="91"/>
      <c r="M869" s="78"/>
      <c r="R869" s="78"/>
    </row>
    <row r="870" ht="14.25" customHeight="1">
      <c r="L870" s="91"/>
      <c r="M870" s="78"/>
      <c r="R870" s="78"/>
    </row>
    <row r="871" ht="14.25" customHeight="1">
      <c r="L871" s="91"/>
      <c r="M871" s="78"/>
      <c r="R871" s="78"/>
    </row>
    <row r="872" ht="14.25" customHeight="1">
      <c r="L872" s="91"/>
      <c r="M872" s="78"/>
      <c r="R872" s="78"/>
    </row>
    <row r="873" ht="14.25" customHeight="1">
      <c r="L873" s="91"/>
      <c r="M873" s="78"/>
      <c r="R873" s="78"/>
    </row>
    <row r="874" ht="14.25" customHeight="1">
      <c r="L874" s="91"/>
      <c r="M874" s="78"/>
      <c r="R874" s="78"/>
    </row>
    <row r="875" ht="14.25" customHeight="1">
      <c r="L875" s="91"/>
      <c r="M875" s="78"/>
      <c r="R875" s="78"/>
    </row>
    <row r="876" ht="14.25" customHeight="1">
      <c r="L876" s="91"/>
      <c r="M876" s="78"/>
      <c r="R876" s="78"/>
    </row>
    <row r="877" ht="14.25" customHeight="1">
      <c r="L877" s="91"/>
      <c r="M877" s="78"/>
      <c r="R877" s="78"/>
    </row>
    <row r="878" ht="14.25" customHeight="1">
      <c r="L878" s="91"/>
      <c r="M878" s="78"/>
      <c r="R878" s="78"/>
    </row>
    <row r="879" ht="14.25" customHeight="1">
      <c r="L879" s="91"/>
      <c r="M879" s="78"/>
      <c r="R879" s="78"/>
    </row>
    <row r="880" ht="14.25" customHeight="1">
      <c r="L880" s="91"/>
      <c r="M880" s="78"/>
      <c r="R880" s="78"/>
    </row>
    <row r="881" ht="14.25" customHeight="1">
      <c r="L881" s="91"/>
      <c r="M881" s="78"/>
      <c r="R881" s="78"/>
    </row>
    <row r="882" ht="14.25" customHeight="1">
      <c r="L882" s="91"/>
      <c r="M882" s="78"/>
      <c r="R882" s="78"/>
    </row>
    <row r="883" ht="14.25" customHeight="1">
      <c r="L883" s="91"/>
      <c r="M883" s="78"/>
      <c r="R883" s="78"/>
    </row>
    <row r="884" ht="14.25" customHeight="1">
      <c r="L884" s="91"/>
      <c r="M884" s="78"/>
      <c r="R884" s="78"/>
    </row>
    <row r="885" ht="14.25" customHeight="1">
      <c r="L885" s="91"/>
      <c r="M885" s="78"/>
      <c r="R885" s="78"/>
    </row>
    <row r="886" ht="14.25" customHeight="1">
      <c r="L886" s="91"/>
      <c r="M886" s="78"/>
      <c r="R886" s="78"/>
    </row>
    <row r="887" ht="14.25" customHeight="1">
      <c r="L887" s="91"/>
      <c r="M887" s="78"/>
      <c r="R887" s="78"/>
    </row>
    <row r="888" ht="14.25" customHeight="1">
      <c r="L888" s="91"/>
      <c r="M888" s="78"/>
      <c r="R888" s="78"/>
    </row>
    <row r="889" ht="14.25" customHeight="1">
      <c r="L889" s="91"/>
      <c r="M889" s="78"/>
      <c r="R889" s="78"/>
    </row>
    <row r="890" ht="14.25" customHeight="1">
      <c r="L890" s="91"/>
      <c r="M890" s="78"/>
      <c r="R890" s="78"/>
    </row>
    <row r="891" ht="14.25" customHeight="1">
      <c r="L891" s="91"/>
      <c r="M891" s="78"/>
      <c r="R891" s="78"/>
    </row>
    <row r="892" ht="14.25" customHeight="1">
      <c r="L892" s="91"/>
      <c r="M892" s="78"/>
      <c r="R892" s="78"/>
    </row>
    <row r="893" ht="14.25" customHeight="1">
      <c r="L893" s="91"/>
      <c r="M893" s="78"/>
      <c r="R893" s="78"/>
    </row>
    <row r="894" ht="14.25" customHeight="1">
      <c r="L894" s="91"/>
      <c r="M894" s="78"/>
      <c r="R894" s="78"/>
    </row>
    <row r="895" ht="14.25" customHeight="1">
      <c r="L895" s="91"/>
      <c r="M895" s="78"/>
      <c r="R895" s="78"/>
    </row>
    <row r="896" ht="14.25" customHeight="1">
      <c r="L896" s="91"/>
      <c r="M896" s="78"/>
      <c r="R896" s="78"/>
    </row>
    <row r="897" ht="14.25" customHeight="1">
      <c r="L897" s="91"/>
      <c r="M897" s="78"/>
      <c r="R897" s="78"/>
    </row>
    <row r="898" ht="14.25" customHeight="1">
      <c r="L898" s="91"/>
      <c r="M898" s="78"/>
      <c r="R898" s="78"/>
    </row>
    <row r="899" ht="14.25" customHeight="1">
      <c r="L899" s="91"/>
      <c r="M899" s="78"/>
      <c r="R899" s="78"/>
    </row>
    <row r="900" ht="14.25" customHeight="1">
      <c r="L900" s="91"/>
      <c r="M900" s="78"/>
      <c r="R900" s="78"/>
    </row>
    <row r="901" ht="14.25" customHeight="1">
      <c r="L901" s="91"/>
      <c r="M901" s="78"/>
      <c r="R901" s="78"/>
    </row>
    <row r="902" ht="14.25" customHeight="1">
      <c r="L902" s="91"/>
      <c r="M902" s="78"/>
      <c r="R902" s="78"/>
    </row>
    <row r="903" ht="14.25" customHeight="1">
      <c r="L903" s="91"/>
      <c r="M903" s="78"/>
      <c r="R903" s="78"/>
    </row>
    <row r="904" ht="14.25" customHeight="1">
      <c r="L904" s="91"/>
      <c r="M904" s="78"/>
      <c r="R904" s="78"/>
    </row>
    <row r="905" ht="14.25" customHeight="1">
      <c r="L905" s="91"/>
      <c r="M905" s="78"/>
      <c r="R905" s="78"/>
    </row>
    <row r="906" ht="14.25" customHeight="1">
      <c r="L906" s="91"/>
      <c r="M906" s="78"/>
      <c r="R906" s="78"/>
    </row>
    <row r="907" ht="14.25" customHeight="1">
      <c r="L907" s="91"/>
      <c r="M907" s="78"/>
      <c r="R907" s="78"/>
    </row>
    <row r="908" ht="14.25" customHeight="1">
      <c r="L908" s="91"/>
      <c r="M908" s="78"/>
      <c r="R908" s="78"/>
    </row>
    <row r="909" ht="14.25" customHeight="1">
      <c r="L909" s="91"/>
      <c r="M909" s="78"/>
      <c r="R909" s="78"/>
    </row>
    <row r="910" ht="14.25" customHeight="1">
      <c r="L910" s="91"/>
      <c r="M910" s="78"/>
      <c r="R910" s="78"/>
    </row>
    <row r="911" ht="14.25" customHeight="1">
      <c r="L911" s="91"/>
      <c r="M911" s="78"/>
      <c r="R911" s="78"/>
    </row>
    <row r="912" ht="14.25" customHeight="1">
      <c r="L912" s="91"/>
      <c r="M912" s="78"/>
      <c r="R912" s="78"/>
    </row>
    <row r="913" ht="14.25" customHeight="1">
      <c r="L913" s="91"/>
      <c r="M913" s="78"/>
      <c r="R913" s="78"/>
    </row>
    <row r="914" ht="14.25" customHeight="1">
      <c r="L914" s="91"/>
      <c r="M914" s="78"/>
      <c r="R914" s="78"/>
    </row>
    <row r="915" ht="14.25" customHeight="1">
      <c r="L915" s="91"/>
      <c r="M915" s="78"/>
      <c r="R915" s="78"/>
    </row>
    <row r="916" ht="14.25" customHeight="1">
      <c r="L916" s="91"/>
      <c r="M916" s="78"/>
      <c r="R916" s="78"/>
    </row>
    <row r="917" ht="14.25" customHeight="1">
      <c r="L917" s="91"/>
      <c r="M917" s="78"/>
      <c r="R917" s="78"/>
    </row>
    <row r="918" ht="14.25" customHeight="1">
      <c r="L918" s="91"/>
      <c r="M918" s="78"/>
      <c r="R918" s="78"/>
    </row>
    <row r="919" ht="14.25" customHeight="1">
      <c r="L919" s="91"/>
      <c r="M919" s="78"/>
      <c r="R919" s="78"/>
    </row>
    <row r="920" ht="14.25" customHeight="1">
      <c r="L920" s="91"/>
      <c r="M920" s="78"/>
      <c r="R920" s="78"/>
    </row>
    <row r="921" ht="14.25" customHeight="1">
      <c r="L921" s="91"/>
      <c r="M921" s="78"/>
      <c r="R921" s="78"/>
    </row>
    <row r="922" ht="14.25" customHeight="1">
      <c r="L922" s="91"/>
      <c r="M922" s="78"/>
      <c r="R922" s="78"/>
    </row>
    <row r="923" ht="14.25" customHeight="1">
      <c r="L923" s="91"/>
      <c r="M923" s="78"/>
      <c r="R923" s="78"/>
    </row>
    <row r="924" ht="14.25" customHeight="1">
      <c r="L924" s="91"/>
      <c r="M924" s="78"/>
      <c r="R924" s="78"/>
    </row>
    <row r="925" ht="14.25" customHeight="1">
      <c r="L925" s="91"/>
      <c r="M925" s="78"/>
      <c r="R925" s="78"/>
    </row>
    <row r="926" ht="14.25" customHeight="1">
      <c r="L926" s="91"/>
      <c r="M926" s="78"/>
      <c r="R926" s="78"/>
    </row>
    <row r="927" ht="14.25" customHeight="1">
      <c r="L927" s="91"/>
      <c r="M927" s="78"/>
      <c r="R927" s="78"/>
    </row>
    <row r="928" ht="14.25" customHeight="1">
      <c r="L928" s="91"/>
      <c r="M928" s="78"/>
      <c r="R928" s="78"/>
    </row>
    <row r="929" ht="14.25" customHeight="1">
      <c r="L929" s="91"/>
      <c r="M929" s="78"/>
      <c r="R929" s="78"/>
    </row>
    <row r="930" ht="14.25" customHeight="1">
      <c r="L930" s="91"/>
      <c r="M930" s="78"/>
      <c r="R930" s="78"/>
    </row>
    <row r="931" ht="14.25" customHeight="1">
      <c r="L931" s="91"/>
      <c r="M931" s="78"/>
      <c r="R931" s="78"/>
    </row>
    <row r="932" ht="14.25" customHeight="1">
      <c r="L932" s="91"/>
      <c r="M932" s="78"/>
      <c r="R932" s="78"/>
    </row>
    <row r="933" ht="14.25" customHeight="1">
      <c r="L933" s="91"/>
      <c r="M933" s="78"/>
      <c r="R933" s="78"/>
    </row>
    <row r="934" ht="14.25" customHeight="1">
      <c r="L934" s="91"/>
      <c r="M934" s="78"/>
      <c r="R934" s="78"/>
    </row>
    <row r="935" ht="14.25" customHeight="1">
      <c r="L935" s="91"/>
      <c r="M935" s="78"/>
      <c r="R935" s="78"/>
    </row>
    <row r="936" ht="14.25" customHeight="1">
      <c r="L936" s="91"/>
      <c r="M936" s="78"/>
      <c r="R936" s="78"/>
    </row>
    <row r="937" ht="14.25" customHeight="1">
      <c r="L937" s="91"/>
      <c r="M937" s="78"/>
      <c r="R937" s="78"/>
    </row>
    <row r="938" ht="14.25" customHeight="1">
      <c r="L938" s="91"/>
      <c r="M938" s="78"/>
      <c r="R938" s="78"/>
    </row>
    <row r="939" ht="14.25" customHeight="1">
      <c r="L939" s="91"/>
      <c r="M939" s="78"/>
      <c r="R939" s="78"/>
    </row>
    <row r="940" ht="14.25" customHeight="1">
      <c r="L940" s="91"/>
      <c r="M940" s="78"/>
      <c r="R940" s="78"/>
    </row>
    <row r="941" ht="14.25" customHeight="1">
      <c r="L941" s="91"/>
      <c r="M941" s="78"/>
      <c r="R941" s="78"/>
    </row>
    <row r="942" ht="14.25" customHeight="1">
      <c r="L942" s="91"/>
      <c r="M942" s="78"/>
      <c r="R942" s="78"/>
    </row>
    <row r="943" ht="14.25" customHeight="1">
      <c r="L943" s="91"/>
      <c r="M943" s="78"/>
      <c r="R943" s="78"/>
    </row>
    <row r="944" ht="14.25" customHeight="1">
      <c r="L944" s="91"/>
      <c r="M944" s="78"/>
      <c r="R944" s="78"/>
    </row>
    <row r="945" ht="14.25" customHeight="1">
      <c r="L945" s="91"/>
      <c r="M945" s="78"/>
      <c r="R945" s="78"/>
    </row>
    <row r="946" ht="14.25" customHeight="1">
      <c r="L946" s="91"/>
      <c r="M946" s="78"/>
      <c r="R946" s="78"/>
    </row>
    <row r="947" ht="14.25" customHeight="1">
      <c r="L947" s="91"/>
      <c r="M947" s="78"/>
      <c r="R947" s="78"/>
    </row>
    <row r="948" ht="14.25" customHeight="1">
      <c r="L948" s="91"/>
      <c r="M948" s="78"/>
      <c r="R948" s="78"/>
    </row>
    <row r="949" ht="14.25" customHeight="1">
      <c r="L949" s="91"/>
      <c r="M949" s="78"/>
      <c r="R949" s="78"/>
    </row>
    <row r="950" ht="14.25" customHeight="1">
      <c r="L950" s="91"/>
      <c r="M950" s="78"/>
      <c r="R950" s="78"/>
    </row>
    <row r="951" ht="14.25" customHeight="1">
      <c r="L951" s="91"/>
      <c r="M951" s="78"/>
      <c r="R951" s="78"/>
    </row>
    <row r="952" ht="14.25" customHeight="1">
      <c r="L952" s="91"/>
      <c r="M952" s="78"/>
      <c r="R952" s="78"/>
    </row>
    <row r="953" ht="14.25" customHeight="1">
      <c r="L953" s="91"/>
      <c r="M953" s="78"/>
      <c r="R953" s="78"/>
    </row>
    <row r="954" ht="14.25" customHeight="1">
      <c r="L954" s="91"/>
      <c r="M954" s="78"/>
      <c r="R954" s="78"/>
    </row>
    <row r="955" ht="14.25" customHeight="1">
      <c r="L955" s="91"/>
      <c r="M955" s="78"/>
      <c r="R955" s="78"/>
    </row>
    <row r="956" ht="14.25" customHeight="1">
      <c r="L956" s="91"/>
      <c r="M956" s="78"/>
      <c r="R956" s="78"/>
    </row>
    <row r="957" ht="14.25" customHeight="1">
      <c r="L957" s="91"/>
      <c r="M957" s="78"/>
      <c r="R957" s="78"/>
    </row>
    <row r="958" ht="14.25" customHeight="1">
      <c r="L958" s="91"/>
      <c r="M958" s="78"/>
      <c r="R958" s="78"/>
    </row>
    <row r="959" ht="14.25" customHeight="1">
      <c r="L959" s="91"/>
      <c r="M959" s="78"/>
      <c r="R959" s="78"/>
    </row>
    <row r="960" ht="14.25" customHeight="1">
      <c r="L960" s="91"/>
      <c r="M960" s="78"/>
      <c r="R960" s="78"/>
    </row>
    <row r="961" ht="14.25" customHeight="1">
      <c r="L961" s="91"/>
      <c r="M961" s="78"/>
      <c r="R961" s="78"/>
    </row>
    <row r="962" ht="14.25" customHeight="1">
      <c r="L962" s="91"/>
      <c r="M962" s="78"/>
      <c r="R962" s="78"/>
    </row>
    <row r="963" ht="14.25" customHeight="1">
      <c r="L963" s="91"/>
      <c r="M963" s="78"/>
      <c r="R963" s="78"/>
    </row>
    <row r="964" ht="14.25" customHeight="1">
      <c r="L964" s="91"/>
      <c r="M964" s="78"/>
      <c r="R964" s="78"/>
    </row>
    <row r="965" ht="14.25" customHeight="1">
      <c r="L965" s="91"/>
      <c r="M965" s="78"/>
      <c r="R965" s="78"/>
    </row>
    <row r="966" ht="14.25" customHeight="1">
      <c r="L966" s="91"/>
      <c r="M966" s="78"/>
      <c r="R966" s="78"/>
    </row>
    <row r="967" ht="14.25" customHeight="1">
      <c r="L967" s="91"/>
      <c r="M967" s="78"/>
      <c r="R967" s="78"/>
    </row>
    <row r="968" ht="14.25" customHeight="1">
      <c r="L968" s="91"/>
      <c r="M968" s="78"/>
      <c r="R968" s="78"/>
    </row>
    <row r="969" ht="14.25" customHeight="1">
      <c r="L969" s="91"/>
      <c r="M969" s="78"/>
      <c r="R969" s="78"/>
    </row>
    <row r="970" ht="14.25" customHeight="1">
      <c r="L970" s="91"/>
      <c r="M970" s="78"/>
      <c r="R970" s="78"/>
    </row>
    <row r="971" ht="14.25" customHeight="1">
      <c r="L971" s="91"/>
      <c r="M971" s="78"/>
      <c r="R971" s="78"/>
    </row>
    <row r="972" ht="14.25" customHeight="1">
      <c r="L972" s="91"/>
      <c r="M972" s="78"/>
      <c r="R972" s="78"/>
    </row>
    <row r="973" ht="14.25" customHeight="1">
      <c r="L973" s="91"/>
      <c r="M973" s="78"/>
      <c r="R973" s="78"/>
    </row>
    <row r="974" ht="14.25" customHeight="1">
      <c r="L974" s="91"/>
      <c r="M974" s="78"/>
      <c r="R974" s="78"/>
    </row>
    <row r="975" ht="14.25" customHeight="1">
      <c r="L975" s="91"/>
      <c r="M975" s="78"/>
      <c r="R975" s="78"/>
    </row>
    <row r="976" ht="14.25" customHeight="1">
      <c r="L976" s="91"/>
      <c r="M976" s="78"/>
      <c r="R976" s="78"/>
    </row>
    <row r="977" ht="14.25" customHeight="1">
      <c r="L977" s="91"/>
      <c r="M977" s="78"/>
      <c r="R977" s="78"/>
    </row>
    <row r="978" ht="14.25" customHeight="1">
      <c r="L978" s="91"/>
      <c r="M978" s="78"/>
      <c r="R978" s="78"/>
    </row>
    <row r="979" ht="14.25" customHeight="1">
      <c r="L979" s="91"/>
      <c r="M979" s="78"/>
      <c r="R979" s="78"/>
    </row>
    <row r="980" ht="14.25" customHeight="1">
      <c r="L980" s="91"/>
      <c r="M980" s="78"/>
      <c r="R980" s="78"/>
    </row>
    <row r="981" ht="14.25" customHeight="1">
      <c r="L981" s="91"/>
      <c r="M981" s="78"/>
      <c r="R981" s="78"/>
    </row>
    <row r="982" ht="14.25" customHeight="1">
      <c r="L982" s="91"/>
      <c r="M982" s="78"/>
      <c r="R982" s="78"/>
    </row>
    <row r="983" ht="14.25" customHeight="1">
      <c r="L983" s="91"/>
      <c r="M983" s="78"/>
      <c r="R983" s="78"/>
    </row>
    <row r="984" ht="14.25" customHeight="1">
      <c r="L984" s="91"/>
      <c r="M984" s="78"/>
      <c r="R984" s="78"/>
    </row>
    <row r="985" ht="14.25" customHeight="1">
      <c r="L985" s="91"/>
      <c r="M985" s="78"/>
      <c r="R985" s="78"/>
    </row>
    <row r="986" ht="14.25" customHeight="1">
      <c r="L986" s="91"/>
      <c r="M986" s="78"/>
      <c r="R986" s="78"/>
    </row>
    <row r="987" ht="14.25" customHeight="1">
      <c r="L987" s="91"/>
      <c r="M987" s="78"/>
      <c r="R987" s="78"/>
    </row>
    <row r="988" ht="14.25" customHeight="1">
      <c r="L988" s="91"/>
      <c r="M988" s="78"/>
      <c r="R988" s="78"/>
    </row>
    <row r="989" ht="14.25" customHeight="1">
      <c r="L989" s="91"/>
      <c r="M989" s="78"/>
      <c r="R989" s="78"/>
    </row>
    <row r="990" ht="14.25" customHeight="1">
      <c r="L990" s="91"/>
      <c r="M990" s="78"/>
      <c r="R990" s="78"/>
    </row>
    <row r="991" ht="14.25" customHeight="1">
      <c r="L991" s="91"/>
      <c r="M991" s="78"/>
      <c r="R991" s="78"/>
    </row>
    <row r="992" ht="14.25" customHeight="1">
      <c r="L992" s="91"/>
      <c r="M992" s="78"/>
      <c r="R992" s="78"/>
    </row>
    <row r="993" ht="14.25" customHeight="1">
      <c r="L993" s="91"/>
      <c r="M993" s="78"/>
      <c r="R993" s="78"/>
    </row>
    <row r="994" ht="14.25" customHeight="1">
      <c r="L994" s="91"/>
      <c r="M994" s="78"/>
      <c r="R994" s="78"/>
    </row>
    <row r="995" ht="14.25" customHeight="1">
      <c r="L995" s="91"/>
      <c r="M995" s="78"/>
      <c r="R995" s="78"/>
    </row>
    <row r="996" ht="14.25" customHeight="1">
      <c r="L996" s="91"/>
      <c r="M996" s="78"/>
      <c r="R996" s="78"/>
    </row>
    <row r="997" ht="14.25" customHeight="1">
      <c r="L997" s="91"/>
      <c r="M997" s="78"/>
      <c r="R997" s="78"/>
    </row>
    <row r="998" ht="14.25" customHeight="1">
      <c r="L998" s="91"/>
      <c r="M998" s="78"/>
      <c r="R998" s="78"/>
    </row>
    <row r="999" ht="14.25" customHeight="1">
      <c r="L999" s="91"/>
      <c r="M999" s="78"/>
      <c r="R999" s="78"/>
    </row>
    <row r="1000" ht="14.25" customHeight="1">
      <c r="L1000" s="91"/>
      <c r="M1000" s="78"/>
      <c r="R1000" s="78"/>
    </row>
    <row r="1001" ht="14.25" customHeight="1">
      <c r="L1001" s="91"/>
      <c r="M1001" s="78"/>
      <c r="R1001" s="78"/>
    </row>
    <row r="1002" ht="14.25" customHeight="1">
      <c r="L1002" s="91"/>
      <c r="M1002" s="78"/>
      <c r="R1002" s="78"/>
    </row>
    <row r="1003" ht="14.25" customHeight="1">
      <c r="L1003" s="91"/>
      <c r="M1003" s="78"/>
      <c r="R1003" s="78"/>
    </row>
    <row r="1004" ht="14.25" customHeight="1">
      <c r="L1004" s="91"/>
      <c r="M1004" s="78"/>
      <c r="R1004" s="78"/>
    </row>
  </sheetData>
  <conditionalFormatting sqref="G2:G15">
    <cfRule type="cellIs" dxfId="4" priority="1" operator="equal">
      <formula>"Pagado"</formula>
    </cfRule>
  </conditionalFormatting>
  <conditionalFormatting sqref="G2:G15">
    <cfRule type="cellIs" dxfId="5" priority="2" operator="equal">
      <formula>"Pendiente"</formula>
    </cfRule>
  </conditionalFormatting>
  <dataValidations>
    <dataValidation type="list" allowBlank="1" showErrorMessage="1" sqref="G2:G16">
      <formula1>$L$1:$L$3</formula1>
    </dataValidation>
    <dataValidation type="custom" allowBlank="1" showDropDown="1" sqref="A2:A16">
      <formula1>OR(NOT(ISERROR(DATEVALUE(A2))), AND(ISNUMBER(A2), LEFT(CELL("format", A2))="D"))</formula1>
    </dataValidation>
    <dataValidation type="custom" allowBlank="1" showDropDown="1" sqref="D2:F16">
      <formula1>AND(ISNUMBER(D2),(NOT(OR(NOT(ISERROR(DATEVALUE(D2))), AND(ISNUMBER(D2), LEFT(CELL("format", D2))="D")))))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72.0"/>
    <col customWidth="1" min="2" max="2" width="18.57"/>
    <col customWidth="1" min="3" max="3" width="13.14"/>
    <col customWidth="1" min="4" max="5" width="12.0"/>
    <col customWidth="1" min="6" max="6" width="30.43"/>
    <col customWidth="1" min="7" max="7" width="22.29"/>
    <col customWidth="1" min="8" max="8" width="11.0"/>
  </cols>
  <sheetData>
    <row r="1">
      <c r="A1" s="94" t="s">
        <v>531</v>
      </c>
      <c r="D1" s="25"/>
      <c r="E1" s="25"/>
      <c r="F1" s="25"/>
      <c r="G1" s="25"/>
      <c r="H1" s="25"/>
    </row>
    <row r="2">
      <c r="A2" s="3" t="s">
        <v>532</v>
      </c>
      <c r="C2" s="25"/>
      <c r="D2" s="25"/>
      <c r="E2" s="25"/>
      <c r="F2" s="25"/>
      <c r="G2" s="25"/>
      <c r="H2" s="25"/>
    </row>
    <row r="3">
      <c r="A3" s="25"/>
      <c r="B3" s="25"/>
      <c r="C3" s="25"/>
      <c r="D3" s="25"/>
      <c r="E3" s="25"/>
      <c r="F3" s="25"/>
      <c r="G3" s="25"/>
      <c r="H3" s="25"/>
    </row>
    <row r="4">
      <c r="A4" s="10" t="s">
        <v>533</v>
      </c>
      <c r="C4" s="25"/>
      <c r="D4" s="25"/>
      <c r="E4" s="25"/>
      <c r="F4" s="25" t="s">
        <v>534</v>
      </c>
      <c r="G4" s="25"/>
      <c r="H4" s="25"/>
    </row>
    <row r="5">
      <c r="A5" s="29" t="s">
        <v>535</v>
      </c>
      <c r="B5" s="29" t="s">
        <v>536</v>
      </c>
      <c r="C5" s="29" t="s">
        <v>537</v>
      </c>
      <c r="D5" s="29" t="s">
        <v>538</v>
      </c>
      <c r="E5" s="29" t="s">
        <v>539</v>
      </c>
      <c r="F5" s="29" t="s">
        <v>191</v>
      </c>
      <c r="G5" s="25"/>
      <c r="H5" s="25"/>
    </row>
    <row r="6">
      <c r="A6" s="95" t="s">
        <v>540</v>
      </c>
      <c r="B6" s="96">
        <f>25000/8</f>
        <v>3125</v>
      </c>
      <c r="C6" s="96">
        <f t="shared" ref="C6:D6" si="1">25000/10</f>
        <v>2500</v>
      </c>
      <c r="D6" s="96">
        <f t="shared" si="1"/>
        <v>2500</v>
      </c>
      <c r="E6" s="96">
        <f>25000/12</f>
        <v>2083.333333</v>
      </c>
      <c r="F6" s="97" t="s">
        <v>541</v>
      </c>
      <c r="G6" s="25"/>
      <c r="H6" s="25"/>
    </row>
    <row r="7">
      <c r="A7" s="95" t="s">
        <v>542</v>
      </c>
      <c r="B7" s="96">
        <f>25000/2</f>
        <v>12500</v>
      </c>
      <c r="C7" s="96">
        <f t="shared" ref="C7:D7" si="2">25000/3</f>
        <v>8333.333333</v>
      </c>
      <c r="D7" s="96">
        <f t="shared" si="2"/>
        <v>8333.333333</v>
      </c>
      <c r="E7" s="96">
        <f>25000/4</f>
        <v>6250</v>
      </c>
      <c r="F7" s="97" t="s">
        <v>543</v>
      </c>
      <c r="G7" s="25"/>
      <c r="H7" s="25"/>
    </row>
    <row r="8">
      <c r="A8" s="95" t="s">
        <v>544</v>
      </c>
      <c r="B8" s="96" t="s">
        <v>545</v>
      </c>
      <c r="C8" s="96" t="s">
        <v>546</v>
      </c>
      <c r="D8" s="96" t="s">
        <v>547</v>
      </c>
      <c r="E8" s="96" t="s">
        <v>548</v>
      </c>
      <c r="F8" s="97" t="s">
        <v>549</v>
      </c>
      <c r="G8" s="25"/>
      <c r="H8" s="25"/>
    </row>
    <row r="9">
      <c r="A9" s="95" t="s">
        <v>550</v>
      </c>
      <c r="B9" s="96">
        <v>1500.0</v>
      </c>
      <c r="C9" s="96">
        <v>1000.0</v>
      </c>
      <c r="D9" s="96">
        <v>800.0</v>
      </c>
      <c r="E9" s="96">
        <v>600.0</v>
      </c>
      <c r="F9" s="97" t="s">
        <v>551</v>
      </c>
      <c r="G9" s="25"/>
      <c r="H9" s="25"/>
    </row>
    <row r="10">
      <c r="A10" s="95" t="s">
        <v>552</v>
      </c>
      <c r="B10" s="96">
        <v>1200.0</v>
      </c>
      <c r="C10" s="96" t="s">
        <v>553</v>
      </c>
      <c r="D10" s="96" t="s">
        <v>554</v>
      </c>
      <c r="E10" s="96" t="s">
        <v>555</v>
      </c>
      <c r="F10" s="97" t="s">
        <v>556</v>
      </c>
      <c r="G10" s="25"/>
      <c r="H10" s="25"/>
    </row>
    <row r="11">
      <c r="A11" s="95" t="s">
        <v>557</v>
      </c>
      <c r="B11" s="96">
        <v>1500.0</v>
      </c>
      <c r="C11" s="96">
        <v>1000.0</v>
      </c>
      <c r="D11" s="96">
        <v>800.0</v>
      </c>
      <c r="E11" s="96">
        <v>800.0</v>
      </c>
      <c r="F11" s="97"/>
      <c r="G11" s="25"/>
      <c r="H11" s="25"/>
    </row>
    <row r="12">
      <c r="A12" s="95" t="s">
        <v>558</v>
      </c>
      <c r="B12" s="96">
        <v>3000.0</v>
      </c>
      <c r="C12" s="96">
        <v>3000.0</v>
      </c>
      <c r="D12" s="96">
        <v>2500.0</v>
      </c>
      <c r="E12" s="96">
        <v>2000.0</v>
      </c>
      <c r="F12" s="97" t="s">
        <v>559</v>
      </c>
      <c r="G12" s="25"/>
      <c r="H12" s="25"/>
    </row>
    <row r="13">
      <c r="A13" s="95" t="s">
        <v>560</v>
      </c>
      <c r="B13" s="96">
        <v>500.0</v>
      </c>
      <c r="C13" s="96">
        <v>300.0</v>
      </c>
      <c r="D13" s="96">
        <v>200.0</v>
      </c>
      <c r="E13" s="96">
        <v>150.0</v>
      </c>
      <c r="F13" s="97" t="s">
        <v>561</v>
      </c>
      <c r="G13" s="25"/>
      <c r="H13" s="25"/>
    </row>
    <row r="14">
      <c r="A14" s="25"/>
      <c r="B14" s="25"/>
      <c r="C14" s="25"/>
      <c r="D14" s="25"/>
      <c r="E14" s="25"/>
      <c r="F14" s="25"/>
      <c r="G14" s="25"/>
      <c r="H14" s="25"/>
    </row>
    <row r="15">
      <c r="A15" s="25"/>
      <c r="B15" s="25"/>
      <c r="C15" s="25"/>
      <c r="D15" s="25"/>
      <c r="E15" s="25"/>
      <c r="F15" s="25"/>
      <c r="G15" s="25"/>
      <c r="H15" s="25"/>
    </row>
    <row r="16">
      <c r="A16" s="10" t="s">
        <v>562</v>
      </c>
      <c r="C16" s="25"/>
      <c r="D16" s="25"/>
      <c r="E16" s="25"/>
      <c r="F16" s="25"/>
      <c r="G16" s="25"/>
      <c r="H16" s="25"/>
    </row>
    <row r="17">
      <c r="A17" s="29" t="s">
        <v>563</v>
      </c>
      <c r="B17" s="29" t="s">
        <v>564</v>
      </c>
      <c r="C17" s="29" t="s">
        <v>565</v>
      </c>
      <c r="D17" s="29" t="s">
        <v>566</v>
      </c>
      <c r="E17" s="29" t="s">
        <v>567</v>
      </c>
      <c r="F17" s="29" t="s">
        <v>568</v>
      </c>
      <c r="G17" s="29" t="s">
        <v>569</v>
      </c>
      <c r="H17" s="29" t="s">
        <v>188</v>
      </c>
    </row>
    <row r="18">
      <c r="A18" s="95" t="s">
        <v>570</v>
      </c>
      <c r="B18" s="98">
        <v>37000.0</v>
      </c>
      <c r="C18" s="99">
        <v>0.0</v>
      </c>
      <c r="D18" s="99">
        <f t="shared" ref="D18:D30" si="3">$B$9+$B$10</f>
        <v>2700</v>
      </c>
      <c r="E18" s="99">
        <f t="shared" ref="E18:E30" si="4">$B$11+$B$12+$B$13</f>
        <v>5000</v>
      </c>
      <c r="F18" s="100">
        <f t="shared" ref="F18:F30" si="5">SUM(B18:E18)</f>
        <v>44700</v>
      </c>
      <c r="G18" s="101">
        <v>80000.0</v>
      </c>
      <c r="H18" s="102">
        <f t="shared" ref="H18:H30" si="6">IF(G18&gt;0,(G18-F18)/G18,0)</f>
        <v>0.44125</v>
      </c>
    </row>
    <row r="19">
      <c r="A19" s="95" t="s">
        <v>571</v>
      </c>
      <c r="B19" s="98">
        <v>37000.0</v>
      </c>
      <c r="C19" s="99">
        <f t="shared" ref="C19:C20" si="7">B6</f>
        <v>3125</v>
      </c>
      <c r="D19" s="99">
        <f t="shared" si="3"/>
        <v>2700</v>
      </c>
      <c r="E19" s="99">
        <f t="shared" si="4"/>
        <v>5000</v>
      </c>
      <c r="F19" s="100">
        <f t="shared" si="5"/>
        <v>47825</v>
      </c>
      <c r="G19" s="101">
        <v>80000.0</v>
      </c>
      <c r="H19" s="102">
        <f t="shared" si="6"/>
        <v>0.4021875</v>
      </c>
    </row>
    <row r="20">
      <c r="A20" s="95" t="s">
        <v>572</v>
      </c>
      <c r="B20" s="98">
        <v>37000.0</v>
      </c>
      <c r="C20" s="99">
        <f t="shared" si="7"/>
        <v>12500</v>
      </c>
      <c r="D20" s="99">
        <f t="shared" si="3"/>
        <v>2700</v>
      </c>
      <c r="E20" s="99">
        <f t="shared" si="4"/>
        <v>5000</v>
      </c>
      <c r="F20" s="100">
        <f t="shared" si="5"/>
        <v>57200</v>
      </c>
      <c r="G20" s="101">
        <v>80000.0</v>
      </c>
      <c r="H20" s="102">
        <f t="shared" si="6"/>
        <v>0.285</v>
      </c>
    </row>
    <row r="21">
      <c r="A21" s="95" t="s">
        <v>573</v>
      </c>
      <c r="B21" s="98">
        <v>37000.0</v>
      </c>
      <c r="C21" s="99">
        <f>C19+C20</f>
        <v>15625</v>
      </c>
      <c r="D21" s="99">
        <f t="shared" si="3"/>
        <v>2700</v>
      </c>
      <c r="E21" s="99">
        <f t="shared" si="4"/>
        <v>5000</v>
      </c>
      <c r="F21" s="100">
        <f t="shared" si="5"/>
        <v>60325</v>
      </c>
      <c r="G21" s="101">
        <v>80000.0</v>
      </c>
      <c r="H21" s="102">
        <f t="shared" si="6"/>
        <v>0.2459375</v>
      </c>
    </row>
    <row r="22">
      <c r="A22" s="95" t="s">
        <v>574</v>
      </c>
      <c r="B22" s="98">
        <v>76000.0</v>
      </c>
      <c r="C22" s="99" t="s">
        <v>575</v>
      </c>
      <c r="D22" s="99">
        <f t="shared" si="3"/>
        <v>2700</v>
      </c>
      <c r="E22" s="99">
        <f t="shared" si="4"/>
        <v>5000</v>
      </c>
      <c r="F22" s="100">
        <f t="shared" si="5"/>
        <v>83700</v>
      </c>
      <c r="G22" s="101">
        <v>120000.0</v>
      </c>
      <c r="H22" s="102">
        <f t="shared" si="6"/>
        <v>0.3025</v>
      </c>
    </row>
    <row r="23">
      <c r="A23" s="95" t="s">
        <v>576</v>
      </c>
      <c r="B23" s="98">
        <v>76000.0</v>
      </c>
      <c r="C23" s="99">
        <f>C21</f>
        <v>15625</v>
      </c>
      <c r="D23" s="99">
        <f t="shared" si="3"/>
        <v>2700</v>
      </c>
      <c r="E23" s="99">
        <f t="shared" si="4"/>
        <v>5000</v>
      </c>
      <c r="F23" s="100">
        <f t="shared" si="5"/>
        <v>99325</v>
      </c>
      <c r="G23" s="101">
        <v>130000.0</v>
      </c>
      <c r="H23" s="102">
        <f t="shared" si="6"/>
        <v>0.2359615385</v>
      </c>
    </row>
    <row r="24">
      <c r="A24" s="95" t="s">
        <v>577</v>
      </c>
      <c r="B24" s="98">
        <v>56000.0</v>
      </c>
      <c r="C24" s="99" t="s">
        <v>575</v>
      </c>
      <c r="D24" s="99">
        <f t="shared" si="3"/>
        <v>2700</v>
      </c>
      <c r="E24" s="99">
        <f t="shared" si="4"/>
        <v>5000</v>
      </c>
      <c r="F24" s="100">
        <f t="shared" si="5"/>
        <v>63700</v>
      </c>
      <c r="G24" s="101">
        <v>100000.0</v>
      </c>
      <c r="H24" s="102">
        <f t="shared" si="6"/>
        <v>0.363</v>
      </c>
    </row>
    <row r="25">
      <c r="A25" s="95" t="s">
        <v>578</v>
      </c>
      <c r="B25" s="98">
        <v>56000.0</v>
      </c>
      <c r="C25" s="99">
        <f>C23</f>
        <v>15625</v>
      </c>
      <c r="D25" s="99">
        <f t="shared" si="3"/>
        <v>2700</v>
      </c>
      <c r="E25" s="99">
        <f t="shared" si="4"/>
        <v>5000</v>
      </c>
      <c r="F25" s="100">
        <f t="shared" si="5"/>
        <v>79325</v>
      </c>
      <c r="G25" s="101">
        <v>120000.0</v>
      </c>
      <c r="H25" s="102">
        <f t="shared" si="6"/>
        <v>0.3389583333</v>
      </c>
    </row>
    <row r="26">
      <c r="A26" s="95" t="s">
        <v>579</v>
      </c>
      <c r="B26" s="98">
        <v>62000.0</v>
      </c>
      <c r="C26" s="99" t="s">
        <v>575</v>
      </c>
      <c r="D26" s="99">
        <f t="shared" si="3"/>
        <v>2700</v>
      </c>
      <c r="E26" s="99">
        <f t="shared" si="4"/>
        <v>5000</v>
      </c>
      <c r="F26" s="100">
        <f t="shared" si="5"/>
        <v>69700</v>
      </c>
      <c r="G26" s="101">
        <v>100000.0</v>
      </c>
      <c r="H26" s="102">
        <f t="shared" si="6"/>
        <v>0.303</v>
      </c>
    </row>
    <row r="27">
      <c r="A27" s="95" t="s">
        <v>580</v>
      </c>
      <c r="B27" s="98">
        <v>62000.0</v>
      </c>
      <c r="C27" s="99" t="s">
        <v>575</v>
      </c>
      <c r="D27" s="99">
        <f t="shared" si="3"/>
        <v>2700</v>
      </c>
      <c r="E27" s="99">
        <f t="shared" si="4"/>
        <v>5000</v>
      </c>
      <c r="F27" s="100">
        <f t="shared" si="5"/>
        <v>69700</v>
      </c>
      <c r="G27" s="101">
        <v>100000.0</v>
      </c>
      <c r="H27" s="102">
        <f t="shared" si="6"/>
        <v>0.303</v>
      </c>
    </row>
    <row r="28">
      <c r="A28" s="95" t="s">
        <v>581</v>
      </c>
      <c r="B28" s="98">
        <v>49000.0</v>
      </c>
      <c r="C28" s="99" t="s">
        <v>575</v>
      </c>
      <c r="D28" s="99">
        <f t="shared" si="3"/>
        <v>2700</v>
      </c>
      <c r="E28" s="99">
        <f t="shared" si="4"/>
        <v>5000</v>
      </c>
      <c r="F28" s="100">
        <f t="shared" si="5"/>
        <v>56700</v>
      </c>
      <c r="G28" s="101">
        <v>80000.0</v>
      </c>
      <c r="H28" s="102">
        <f t="shared" si="6"/>
        <v>0.29125</v>
      </c>
    </row>
    <row r="29">
      <c r="A29" s="95" t="s">
        <v>582</v>
      </c>
      <c r="B29" s="98">
        <v>45000.0</v>
      </c>
      <c r="C29" s="99" t="s">
        <v>575</v>
      </c>
      <c r="D29" s="99">
        <f t="shared" si="3"/>
        <v>2700</v>
      </c>
      <c r="E29" s="99">
        <f t="shared" si="4"/>
        <v>5000</v>
      </c>
      <c r="F29" s="100">
        <f t="shared" si="5"/>
        <v>52700</v>
      </c>
      <c r="G29" s="101">
        <v>80000.0</v>
      </c>
      <c r="H29" s="102">
        <f t="shared" si="6"/>
        <v>0.34125</v>
      </c>
    </row>
    <row r="30">
      <c r="A30" s="95" t="s">
        <v>583</v>
      </c>
      <c r="B30" s="98">
        <v>45000.0</v>
      </c>
      <c r="C30" s="99">
        <f>C25</f>
        <v>15625</v>
      </c>
      <c r="D30" s="99">
        <f t="shared" si="3"/>
        <v>2700</v>
      </c>
      <c r="E30" s="99">
        <f t="shared" si="4"/>
        <v>5000</v>
      </c>
      <c r="F30" s="100">
        <f t="shared" si="5"/>
        <v>68325</v>
      </c>
      <c r="G30" s="101">
        <v>100000.0</v>
      </c>
      <c r="H30" s="102">
        <f t="shared" si="6"/>
        <v>0.31675</v>
      </c>
    </row>
    <row r="31">
      <c r="A31" s="25"/>
      <c r="B31" s="25"/>
      <c r="C31" s="25"/>
      <c r="D31" s="25"/>
      <c r="E31" s="25"/>
      <c r="F31" s="25"/>
      <c r="G31" s="25"/>
      <c r="H31" s="25"/>
    </row>
    <row r="32">
      <c r="A32" s="25"/>
      <c r="B32" s="25"/>
      <c r="C32" s="25"/>
      <c r="D32" s="25"/>
      <c r="E32" s="25"/>
      <c r="F32" s="25"/>
      <c r="G32" s="25"/>
      <c r="H32" s="25"/>
    </row>
    <row r="33">
      <c r="A33" s="25"/>
      <c r="B33" s="25"/>
      <c r="C33" s="25"/>
      <c r="D33" s="25"/>
      <c r="E33" s="25"/>
      <c r="F33" s="25"/>
      <c r="G33" s="25"/>
      <c r="H33" s="25"/>
    </row>
    <row r="34">
      <c r="A34" s="10" t="s">
        <v>584</v>
      </c>
      <c r="D34" s="25"/>
      <c r="E34" s="25"/>
      <c r="F34" s="25"/>
      <c r="G34" s="25"/>
      <c r="H34" s="25"/>
    </row>
    <row r="35">
      <c r="A35" s="29" t="s">
        <v>585</v>
      </c>
      <c r="B35" s="29" t="s">
        <v>586</v>
      </c>
      <c r="C35" s="29" t="s">
        <v>187</v>
      </c>
      <c r="D35" s="29" t="s">
        <v>587</v>
      </c>
      <c r="E35" s="29" t="s">
        <v>188</v>
      </c>
      <c r="F35" s="29" t="s">
        <v>588</v>
      </c>
      <c r="G35" s="25"/>
      <c r="H35" s="25"/>
    </row>
    <row r="36">
      <c r="A36" s="95" t="s">
        <v>589</v>
      </c>
      <c r="B36" s="99">
        <f>F21</f>
        <v>60325</v>
      </c>
      <c r="C36" s="101">
        <v>80000.0</v>
      </c>
      <c r="D36" s="99">
        <f t="shared" ref="D36:D39" si="8">C36-B36</f>
        <v>19675</v>
      </c>
      <c r="E36" s="102">
        <f t="shared" ref="E36:E39" si="9">IF(C36&gt;0,(C36-B36)/C36,0)</f>
        <v>0.2459375</v>
      </c>
      <c r="F36" s="97" t="s">
        <v>590</v>
      </c>
      <c r="G36" s="25"/>
      <c r="H36" s="25"/>
    </row>
    <row r="37">
      <c r="A37" s="95" t="s">
        <v>591</v>
      </c>
      <c r="B37" s="99">
        <f>F21</f>
        <v>60325</v>
      </c>
      <c r="C37" s="101">
        <v>90000.0</v>
      </c>
      <c r="D37" s="99">
        <f t="shared" si="8"/>
        <v>29675</v>
      </c>
      <c r="E37" s="102">
        <f t="shared" si="9"/>
        <v>0.3297222222</v>
      </c>
      <c r="F37" s="97" t="s">
        <v>592</v>
      </c>
      <c r="G37" s="25"/>
      <c r="H37" s="25"/>
    </row>
    <row r="38">
      <c r="A38" s="95" t="s">
        <v>593</v>
      </c>
      <c r="B38" s="99">
        <f>F21</f>
        <v>60325</v>
      </c>
      <c r="C38" s="101">
        <v>110000.0</v>
      </c>
      <c r="D38" s="99">
        <f t="shared" si="8"/>
        <v>49675</v>
      </c>
      <c r="E38" s="102">
        <f t="shared" si="9"/>
        <v>0.4515909091</v>
      </c>
      <c r="F38" s="97" t="s">
        <v>594</v>
      </c>
      <c r="G38" s="25"/>
      <c r="H38" s="25"/>
    </row>
    <row r="39">
      <c r="A39" s="95" t="s">
        <v>595</v>
      </c>
      <c r="B39" s="99">
        <f>F21*1.1</f>
        <v>66357.5</v>
      </c>
      <c r="C39" s="101">
        <v>140000.0</v>
      </c>
      <c r="D39" s="99">
        <f t="shared" si="8"/>
        <v>73642.5</v>
      </c>
      <c r="E39" s="102">
        <f t="shared" si="9"/>
        <v>0.5260178571</v>
      </c>
      <c r="F39" s="97" t="s">
        <v>596</v>
      </c>
      <c r="G39" s="25"/>
      <c r="H39" s="25"/>
    </row>
    <row r="40">
      <c r="A40" s="25"/>
      <c r="B40" s="25"/>
      <c r="C40" s="25"/>
      <c r="D40" s="25"/>
      <c r="E40" s="25"/>
      <c r="F40" s="25"/>
      <c r="G40" s="25"/>
      <c r="H40" s="25"/>
    </row>
    <row r="41">
      <c r="A41" s="25"/>
      <c r="B41" s="25"/>
      <c r="C41" s="25"/>
      <c r="D41" s="25"/>
      <c r="E41" s="25"/>
      <c r="F41" s="25"/>
      <c r="G41" s="25"/>
      <c r="H41" s="25"/>
    </row>
    <row r="42">
      <c r="A42" s="49" t="s">
        <v>597</v>
      </c>
      <c r="B42" s="25"/>
      <c r="C42" s="25"/>
      <c r="D42" s="25"/>
      <c r="E42" s="25"/>
      <c r="F42" s="25"/>
      <c r="G42" s="25"/>
      <c r="H42" s="25"/>
    </row>
    <row r="43">
      <c r="A43" s="103" t="s">
        <v>598</v>
      </c>
      <c r="D43" s="25"/>
      <c r="E43" s="25"/>
      <c r="F43" s="25"/>
      <c r="G43" s="25"/>
      <c r="H43" s="25"/>
    </row>
    <row r="44">
      <c r="A44" s="103" t="s">
        <v>599</v>
      </c>
      <c r="D44" s="25"/>
      <c r="E44" s="25"/>
      <c r="F44" s="25"/>
      <c r="G44" s="25"/>
      <c r="H44" s="25"/>
    </row>
    <row r="45">
      <c r="A45" s="103" t="s">
        <v>600</v>
      </c>
      <c r="D45" s="25"/>
      <c r="E45" s="25"/>
      <c r="F45" s="25"/>
      <c r="G45" s="25"/>
      <c r="H45" s="25"/>
    </row>
    <row r="46">
      <c r="D46" s="25"/>
      <c r="E46" s="25"/>
      <c r="F46" s="25"/>
      <c r="G46" s="25"/>
      <c r="H46" s="25"/>
    </row>
    <row r="47">
      <c r="A47" s="103"/>
      <c r="D47" s="25"/>
      <c r="E47" s="25"/>
      <c r="F47" s="25"/>
      <c r="G47" s="25"/>
      <c r="H47" s="25"/>
    </row>
  </sheetData>
  <mergeCells count="9">
    <mergeCell ref="A45:C45"/>
    <mergeCell ref="A47:C47"/>
    <mergeCell ref="A1:C1"/>
    <mergeCell ref="A2:B2"/>
    <mergeCell ref="A4:B4"/>
    <mergeCell ref="A16:B16"/>
    <mergeCell ref="A34:C34"/>
    <mergeCell ref="A43:C43"/>
    <mergeCell ref="A44:C4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9.0"/>
    <col customWidth="1" min="2" max="2" width="24.29"/>
    <col customWidth="1" min="3" max="3" width="21.57"/>
    <col customWidth="1" min="4" max="4" width="31.57"/>
    <col customWidth="1" min="5" max="5" width="32.0"/>
    <col customWidth="1" min="6" max="7" width="19.71"/>
    <col customWidth="1" min="8" max="8" width="32.14"/>
    <col customWidth="1" min="9" max="9" width="42.57"/>
    <col customWidth="1" min="10" max="10" width="45.29"/>
    <col customWidth="1" min="11" max="12" width="22.29"/>
    <col customWidth="1" min="13" max="13" width="19.29"/>
    <col customWidth="1" min="14" max="14" width="47.86"/>
    <col customWidth="1" min="15" max="15" width="33.14"/>
    <col customWidth="1" min="16" max="16" width="45.86"/>
    <col customWidth="1" min="17" max="17" width="47.57"/>
    <col customWidth="1" min="18" max="18" width="24.29"/>
    <col customWidth="1" min="19" max="19" width="14.0"/>
    <col customWidth="1" min="20" max="20" width="15.29"/>
    <col customWidth="1" min="21" max="21" width="20.43"/>
    <col customWidth="1" min="22" max="22" width="17.14"/>
    <col customWidth="1" min="23" max="23" width="16.86"/>
    <col customWidth="1" min="24" max="24" width="9.57"/>
    <col customWidth="1" min="25" max="25" width="10.86"/>
    <col customWidth="1" min="26" max="26" width="16.86"/>
    <col customWidth="1" min="27" max="28" width="10.86"/>
    <col customWidth="1" min="29" max="29" width="14.86"/>
    <col customWidth="1" min="30" max="30" width="12.14"/>
    <col customWidth="1" min="31" max="31" width="11.86"/>
  </cols>
  <sheetData>
    <row r="1" ht="14.25" customHeight="1">
      <c r="A1" s="104" t="s">
        <v>601</v>
      </c>
      <c r="P1" s="105"/>
      <c r="Q1" s="105"/>
      <c r="R1" s="105"/>
    </row>
    <row r="2" ht="14.25" customHeight="1">
      <c r="P2" s="105"/>
      <c r="Q2" s="105"/>
      <c r="R2" s="105"/>
    </row>
    <row r="3" ht="14.25" customHeight="1">
      <c r="A3" s="106" t="s">
        <v>602</v>
      </c>
      <c r="O3" s="107" t="s">
        <v>603</v>
      </c>
      <c r="P3" s="105"/>
      <c r="Q3" s="105"/>
      <c r="R3" s="105"/>
    </row>
    <row r="4" ht="14.25" customHeight="1">
      <c r="A4" s="108" t="s">
        <v>604</v>
      </c>
      <c r="B4" s="109" t="s">
        <v>484</v>
      </c>
      <c r="C4" s="110" t="s">
        <v>605</v>
      </c>
      <c r="D4" s="110" t="s">
        <v>606</v>
      </c>
      <c r="E4" s="110" t="s">
        <v>607</v>
      </c>
      <c r="F4" s="110" t="s">
        <v>566</v>
      </c>
      <c r="G4" s="110" t="s">
        <v>567</v>
      </c>
      <c r="H4" s="109" t="s">
        <v>608</v>
      </c>
      <c r="I4" s="109" t="s">
        <v>609</v>
      </c>
      <c r="J4" s="111" t="s">
        <v>610</v>
      </c>
      <c r="O4" s="112" t="s">
        <v>611</v>
      </c>
      <c r="P4" s="112" t="s">
        <v>612</v>
      </c>
      <c r="Q4" s="113" t="s">
        <v>613</v>
      </c>
      <c r="R4" s="113" t="s">
        <v>565</v>
      </c>
      <c r="S4" s="105"/>
    </row>
    <row r="5" ht="14.25" customHeight="1">
      <c r="A5" s="114" t="s">
        <v>614</v>
      </c>
      <c r="B5" s="114" t="s">
        <v>496</v>
      </c>
      <c r="C5" s="115">
        <v>35000.0</v>
      </c>
      <c r="D5" s="115">
        <v>3500.0</v>
      </c>
      <c r="E5" s="115">
        <v>11000.0</v>
      </c>
      <c r="F5" s="116">
        <v>1700.0</v>
      </c>
      <c r="G5" s="116">
        <v>1000.0</v>
      </c>
      <c r="H5" s="116">
        <v>75000.0</v>
      </c>
      <c r="I5" s="116">
        <v>130000.0</v>
      </c>
      <c r="J5" s="116">
        <v>100000.0</v>
      </c>
      <c r="O5" s="117" t="s">
        <v>614</v>
      </c>
      <c r="P5" s="118" t="s">
        <v>615</v>
      </c>
      <c r="Q5" s="119" t="s">
        <v>616</v>
      </c>
      <c r="R5" s="119" t="s">
        <v>617</v>
      </c>
      <c r="S5" s="105"/>
    </row>
    <row r="6" ht="14.25" customHeight="1">
      <c r="A6" s="114" t="s">
        <v>618</v>
      </c>
      <c r="B6" s="120" t="s">
        <v>492</v>
      </c>
      <c r="C6" s="115">
        <v>37000.0</v>
      </c>
      <c r="D6" s="115">
        <v>3500.0</v>
      </c>
      <c r="E6" s="115">
        <v>11000.0</v>
      </c>
      <c r="F6" s="116">
        <v>1700.0</v>
      </c>
      <c r="G6" s="116">
        <v>1000.0</v>
      </c>
      <c r="H6" s="116">
        <v>75000.0</v>
      </c>
      <c r="I6" s="116">
        <v>130000.0</v>
      </c>
      <c r="J6" s="116">
        <v>100000.0</v>
      </c>
      <c r="O6" s="117" t="s">
        <v>618</v>
      </c>
      <c r="P6" s="117" t="s">
        <v>619</v>
      </c>
      <c r="Q6" s="119" t="s">
        <v>620</v>
      </c>
      <c r="R6" s="119" t="s">
        <v>621</v>
      </c>
      <c r="S6" s="105"/>
    </row>
    <row r="7" ht="14.25" customHeight="1">
      <c r="A7" s="117" t="s">
        <v>622</v>
      </c>
      <c r="B7" s="120" t="s">
        <v>492</v>
      </c>
      <c r="C7" s="115">
        <v>37000.0</v>
      </c>
      <c r="D7" s="115">
        <v>3500.0</v>
      </c>
      <c r="E7" s="115">
        <v>11000.0</v>
      </c>
      <c r="F7" s="116">
        <v>1700.0</v>
      </c>
      <c r="G7" s="116">
        <v>1000.0</v>
      </c>
      <c r="H7" s="116">
        <v>75000.0</v>
      </c>
      <c r="I7" s="116">
        <v>130000.0</v>
      </c>
      <c r="J7" s="116">
        <v>100000.0</v>
      </c>
      <c r="O7" s="117" t="s">
        <v>622</v>
      </c>
      <c r="P7" s="117" t="s">
        <v>623</v>
      </c>
      <c r="Q7" s="121" t="s">
        <v>624</v>
      </c>
      <c r="R7" s="119" t="s">
        <v>625</v>
      </c>
      <c r="S7" s="105"/>
    </row>
    <row r="8" ht="14.25" customHeight="1">
      <c r="A8" s="114" t="s">
        <v>626</v>
      </c>
      <c r="B8" s="120" t="s">
        <v>492</v>
      </c>
      <c r="C8" s="115">
        <v>37000.0</v>
      </c>
      <c r="D8" s="115">
        <v>3500.0</v>
      </c>
      <c r="E8" s="115">
        <v>11000.0</v>
      </c>
      <c r="F8" s="116">
        <v>1700.0</v>
      </c>
      <c r="G8" s="116">
        <v>1000.0</v>
      </c>
      <c r="H8" s="115">
        <v>75000.0</v>
      </c>
      <c r="I8" s="116">
        <v>130000.0</v>
      </c>
      <c r="J8" s="116">
        <v>100000.0</v>
      </c>
      <c r="O8" s="117" t="s">
        <v>626</v>
      </c>
      <c r="P8" s="117" t="s">
        <v>627</v>
      </c>
      <c r="Q8" s="121" t="s">
        <v>628</v>
      </c>
      <c r="R8" s="119" t="s">
        <v>629</v>
      </c>
      <c r="S8" s="105"/>
    </row>
    <row r="9" ht="14.25" customHeight="1">
      <c r="A9" s="117" t="s">
        <v>630</v>
      </c>
      <c r="B9" s="114" t="s">
        <v>492</v>
      </c>
      <c r="C9" s="115">
        <v>90000.0</v>
      </c>
      <c r="D9" s="115">
        <v>3500.0</v>
      </c>
      <c r="E9" s="115">
        <v>11000.0</v>
      </c>
      <c r="F9" s="116">
        <v>1700.0</v>
      </c>
      <c r="G9" s="116">
        <v>1000.0</v>
      </c>
      <c r="H9" s="116">
        <v>200000.0</v>
      </c>
      <c r="I9" s="116">
        <v>260000.0</v>
      </c>
      <c r="J9" s="116">
        <v>230000.0</v>
      </c>
      <c r="O9" s="117" t="s">
        <v>630</v>
      </c>
      <c r="P9" s="117" t="s">
        <v>631</v>
      </c>
      <c r="Q9" s="121" t="s">
        <v>632</v>
      </c>
      <c r="R9" s="119" t="s">
        <v>633</v>
      </c>
      <c r="S9" s="105"/>
    </row>
    <row r="10" ht="14.25" customHeight="1">
      <c r="A10" s="120" t="s">
        <v>634</v>
      </c>
      <c r="B10" s="114" t="s">
        <v>492</v>
      </c>
      <c r="C10" s="115">
        <v>120000.0</v>
      </c>
      <c r="D10" s="116">
        <v>3500.0</v>
      </c>
      <c r="E10" s="116">
        <v>11000.0</v>
      </c>
      <c r="F10" s="116">
        <v>1700.0</v>
      </c>
      <c r="G10" s="116">
        <v>1000.0</v>
      </c>
      <c r="H10" s="116">
        <v>200000.0</v>
      </c>
      <c r="I10" s="116">
        <v>260000.0</v>
      </c>
      <c r="J10" s="116">
        <v>230000.0</v>
      </c>
      <c r="O10" s="117" t="s">
        <v>634</v>
      </c>
      <c r="P10" s="117" t="s">
        <v>635</v>
      </c>
      <c r="Q10" s="119" t="s">
        <v>636</v>
      </c>
      <c r="R10" s="119"/>
      <c r="S10" s="105"/>
    </row>
    <row r="11" ht="14.25" customHeight="1">
      <c r="A11" s="117" t="s">
        <v>637</v>
      </c>
      <c r="B11" s="114" t="s">
        <v>496</v>
      </c>
      <c r="C11" s="115">
        <v>50000.0</v>
      </c>
      <c r="D11" s="115">
        <v>3500.0</v>
      </c>
      <c r="E11" s="115">
        <v>11000.0</v>
      </c>
      <c r="F11" s="116">
        <v>1700.0</v>
      </c>
      <c r="G11" s="116">
        <v>1000.0</v>
      </c>
      <c r="H11" s="116">
        <v>120000.0</v>
      </c>
      <c r="I11" s="115">
        <v>140000.0</v>
      </c>
      <c r="J11" s="116">
        <v>140000.0</v>
      </c>
      <c r="O11" s="117" t="s">
        <v>637</v>
      </c>
      <c r="P11" s="117"/>
      <c r="Q11" s="121" t="s">
        <v>638</v>
      </c>
      <c r="R11" s="119"/>
      <c r="S11" s="105"/>
    </row>
    <row r="12" ht="14.25" customHeight="1">
      <c r="A12" s="117" t="s">
        <v>639</v>
      </c>
      <c r="B12" s="114" t="s">
        <v>496</v>
      </c>
      <c r="C12" s="115">
        <v>55000.0</v>
      </c>
      <c r="D12" s="115">
        <v>3500.0</v>
      </c>
      <c r="E12" s="115">
        <v>11000.0</v>
      </c>
      <c r="F12" s="116">
        <v>1700.0</v>
      </c>
      <c r="G12" s="116">
        <v>1000.0</v>
      </c>
      <c r="H12" s="116">
        <v>120000.0</v>
      </c>
      <c r="I12" s="115">
        <v>140000.0</v>
      </c>
      <c r="J12" s="116">
        <v>140000.0</v>
      </c>
      <c r="O12" s="117" t="s">
        <v>639</v>
      </c>
      <c r="P12" s="117"/>
      <c r="Q12" s="121" t="s">
        <v>640</v>
      </c>
      <c r="R12" s="119"/>
      <c r="S12" s="105"/>
    </row>
    <row r="13" ht="14.25" customHeight="1">
      <c r="A13" s="117" t="s">
        <v>641</v>
      </c>
      <c r="B13" s="114" t="s">
        <v>496</v>
      </c>
      <c r="C13" s="115">
        <v>55000.0</v>
      </c>
      <c r="D13" s="115">
        <v>3500.0</v>
      </c>
      <c r="E13" s="115">
        <v>11000.0</v>
      </c>
      <c r="F13" s="116">
        <v>1700.0</v>
      </c>
      <c r="G13" s="116">
        <v>1000.0</v>
      </c>
      <c r="H13" s="116">
        <v>100000.0</v>
      </c>
      <c r="I13" s="115">
        <v>100000.0</v>
      </c>
      <c r="J13" s="115">
        <v>100000.0</v>
      </c>
      <c r="O13" s="117" t="s">
        <v>641</v>
      </c>
      <c r="P13" s="117"/>
      <c r="Q13" s="121"/>
      <c r="R13" s="119"/>
      <c r="S13" s="105"/>
    </row>
    <row r="14" ht="14.25" customHeight="1">
      <c r="A14" s="117" t="s">
        <v>518</v>
      </c>
      <c r="B14" s="114" t="s">
        <v>496</v>
      </c>
      <c r="C14" s="115">
        <v>55000.0</v>
      </c>
      <c r="D14" s="115">
        <v>3500.0</v>
      </c>
      <c r="E14" s="115">
        <v>11000.0</v>
      </c>
      <c r="F14" s="116">
        <v>1700.0</v>
      </c>
      <c r="G14" s="116">
        <v>1000.0</v>
      </c>
      <c r="H14" s="115">
        <v>90000.0</v>
      </c>
      <c r="I14" s="115">
        <v>100000.0</v>
      </c>
      <c r="J14" s="115">
        <v>100000.0</v>
      </c>
      <c r="O14" s="117" t="s">
        <v>518</v>
      </c>
      <c r="P14" s="117"/>
      <c r="Q14" s="121"/>
      <c r="R14" s="119"/>
      <c r="S14" s="105"/>
    </row>
    <row r="15" ht="14.25" customHeight="1">
      <c r="A15" s="117" t="s">
        <v>511</v>
      </c>
      <c r="B15" s="114" t="s">
        <v>496</v>
      </c>
      <c r="C15" s="115">
        <v>45000.0</v>
      </c>
      <c r="D15" s="115">
        <v>3500.0</v>
      </c>
      <c r="E15" s="115">
        <v>11000.0</v>
      </c>
      <c r="F15" s="116">
        <v>1700.0</v>
      </c>
      <c r="G15" s="116">
        <v>1000.0</v>
      </c>
      <c r="H15" s="116">
        <v>90000.0</v>
      </c>
      <c r="I15" s="116">
        <v>90000.0</v>
      </c>
      <c r="J15" s="116">
        <v>90000.0</v>
      </c>
      <c r="O15" s="117" t="s">
        <v>511</v>
      </c>
      <c r="P15" s="117"/>
      <c r="Q15" s="119"/>
      <c r="R15" s="119"/>
      <c r="S15" s="105"/>
    </row>
    <row r="16" ht="14.25" customHeight="1">
      <c r="A16" s="117" t="s">
        <v>512</v>
      </c>
      <c r="B16" s="114" t="s">
        <v>496</v>
      </c>
      <c r="C16" s="115">
        <v>40000.0</v>
      </c>
      <c r="D16" s="115">
        <v>3500.0</v>
      </c>
      <c r="E16" s="115">
        <v>11000.0</v>
      </c>
      <c r="F16" s="116">
        <v>1700.0</v>
      </c>
      <c r="G16" s="116">
        <v>1000.0</v>
      </c>
      <c r="H16" s="116">
        <v>120000.0</v>
      </c>
      <c r="I16" s="116">
        <v>120000.0</v>
      </c>
      <c r="J16" s="116">
        <v>120000.0</v>
      </c>
      <c r="O16" s="120" t="s">
        <v>512</v>
      </c>
      <c r="P16" s="117"/>
      <c r="Q16" s="119"/>
      <c r="R16" s="119"/>
      <c r="S16" s="105"/>
    </row>
    <row r="17" ht="14.25" customHeight="1">
      <c r="A17" s="117" t="s">
        <v>642</v>
      </c>
      <c r="B17" s="114" t="s">
        <v>496</v>
      </c>
      <c r="C17" s="115">
        <v>32000.0</v>
      </c>
      <c r="D17" s="115">
        <v>3500.0</v>
      </c>
      <c r="E17" s="115">
        <v>11000.0</v>
      </c>
      <c r="F17" s="116">
        <v>1700.0</v>
      </c>
      <c r="G17" s="116">
        <v>1000.0</v>
      </c>
      <c r="H17" s="115">
        <v>65000.0</v>
      </c>
      <c r="I17" s="115">
        <v>65000.0</v>
      </c>
      <c r="J17" s="115">
        <v>65000.0</v>
      </c>
      <c r="O17" s="120" t="s">
        <v>642</v>
      </c>
      <c r="P17" s="117"/>
      <c r="Q17" s="119"/>
      <c r="R17" s="119"/>
      <c r="S17" s="105"/>
    </row>
    <row r="18" ht="14.25" customHeight="1">
      <c r="A18" s="117" t="s">
        <v>643</v>
      </c>
      <c r="B18" s="117"/>
      <c r="C18" s="115">
        <v>25000.0</v>
      </c>
      <c r="D18" s="115">
        <v>5000.0</v>
      </c>
      <c r="E18" s="115"/>
      <c r="F18" s="116">
        <v>1700.0</v>
      </c>
      <c r="G18" s="116">
        <v>1000.0</v>
      </c>
      <c r="H18" s="115">
        <v>50000.0</v>
      </c>
      <c r="I18" s="115">
        <v>65000.0</v>
      </c>
      <c r="J18" s="115">
        <v>65000.0</v>
      </c>
      <c r="O18" s="114" t="s">
        <v>643</v>
      </c>
      <c r="P18" s="117"/>
      <c r="Q18" s="119"/>
      <c r="R18" s="119"/>
      <c r="S18" s="105"/>
    </row>
    <row r="19" ht="14.25" customHeight="1">
      <c r="A19" s="122" t="s">
        <v>644</v>
      </c>
      <c r="B19" s="120" t="s">
        <v>507</v>
      </c>
      <c r="C19" s="115">
        <v>60000.0</v>
      </c>
      <c r="D19" s="115"/>
      <c r="E19" s="115"/>
      <c r="F19" s="115"/>
      <c r="G19" s="116">
        <v>1000.0</v>
      </c>
      <c r="H19" s="116">
        <v>75000.0</v>
      </c>
      <c r="I19" s="115">
        <f>+'Cotizador Compras'!$H19</f>
        <v>75000</v>
      </c>
      <c r="J19" s="115">
        <f>+'Cotizador Compras'!$H19</f>
        <v>75000</v>
      </c>
      <c r="O19" s="117" t="s">
        <v>645</v>
      </c>
      <c r="P19" s="117"/>
      <c r="Q19" s="119"/>
      <c r="R19" s="119"/>
      <c r="S19" s="105"/>
    </row>
    <row r="20" ht="14.25" customHeight="1">
      <c r="A20" s="120" t="s">
        <v>387</v>
      </c>
      <c r="B20" s="120" t="s">
        <v>507</v>
      </c>
      <c r="C20" s="115">
        <v>54000.0</v>
      </c>
      <c r="D20" s="115"/>
      <c r="E20" s="115"/>
      <c r="F20" s="115"/>
      <c r="G20" s="116">
        <v>1000.0</v>
      </c>
      <c r="H20" s="115">
        <v>75000.0</v>
      </c>
      <c r="I20" s="115">
        <f>+'Cotizador Compras'!$H20</f>
        <v>75000</v>
      </c>
      <c r="J20" s="115">
        <f>+'Cotizador Compras'!$H20</f>
        <v>75000</v>
      </c>
      <c r="O20" s="117" t="s">
        <v>387</v>
      </c>
      <c r="P20" s="119"/>
      <c r="Q20" s="119"/>
      <c r="R20" s="119"/>
    </row>
    <row r="21" ht="14.25" customHeight="1">
      <c r="A21" s="120"/>
      <c r="B21" s="120"/>
      <c r="C21" s="115"/>
      <c r="D21" s="115"/>
      <c r="E21" s="115"/>
      <c r="F21" s="115"/>
      <c r="G21" s="115"/>
      <c r="H21" s="115"/>
      <c r="I21" s="115"/>
      <c r="J21" s="115"/>
      <c r="P21" s="105"/>
      <c r="Q21" s="105"/>
      <c r="R21" s="105"/>
    </row>
    <row r="22" ht="14.25" customHeight="1">
      <c r="A22" s="123" t="s">
        <v>646</v>
      </c>
      <c r="P22" s="105"/>
      <c r="Q22" s="105"/>
      <c r="R22" s="105"/>
    </row>
    <row r="23" ht="14.25" customHeight="1">
      <c r="A23" s="124"/>
      <c r="P23" s="105"/>
      <c r="Q23" s="105"/>
      <c r="R23" s="105"/>
    </row>
    <row r="24" ht="14.25" customHeight="1">
      <c r="P24" s="105"/>
      <c r="Q24" s="105"/>
      <c r="R24" s="105"/>
    </row>
    <row r="25" ht="14.25" customHeight="1">
      <c r="A25" s="125" t="s">
        <v>604</v>
      </c>
      <c r="B25" s="125" t="s">
        <v>647</v>
      </c>
      <c r="C25" s="125" t="s">
        <v>648</v>
      </c>
      <c r="D25" s="125" t="s">
        <v>565</v>
      </c>
      <c r="E25" s="125" t="s">
        <v>649</v>
      </c>
      <c r="F25" s="125" t="s">
        <v>650</v>
      </c>
      <c r="G25" s="125" t="s">
        <v>651</v>
      </c>
      <c r="H25" s="125" t="s">
        <v>652</v>
      </c>
      <c r="I25" s="125" t="s">
        <v>653</v>
      </c>
      <c r="J25" s="125" t="s">
        <v>654</v>
      </c>
      <c r="K25" s="126" t="s">
        <v>568</v>
      </c>
      <c r="L25" s="125" t="s">
        <v>655</v>
      </c>
      <c r="M25" s="127" t="s">
        <v>656</v>
      </c>
      <c r="N25" s="128" t="s">
        <v>657</v>
      </c>
      <c r="O25" s="128" t="s">
        <v>658</v>
      </c>
      <c r="P25" s="129" t="s">
        <v>659</v>
      </c>
      <c r="Q25" s="129" t="s">
        <v>611</v>
      </c>
      <c r="R25" s="129" t="s">
        <v>649</v>
      </c>
      <c r="T25" s="129" t="s">
        <v>660</v>
      </c>
      <c r="W25" s="130" t="s">
        <v>661</v>
      </c>
      <c r="X25" s="131" t="s">
        <v>662</v>
      </c>
      <c r="Y25" s="131" t="s">
        <v>663</v>
      </c>
      <c r="Z25" s="130" t="s">
        <v>664</v>
      </c>
      <c r="AA25" s="131" t="s">
        <v>665</v>
      </c>
      <c r="AB25" s="131" t="s">
        <v>666</v>
      </c>
      <c r="AC25" s="131" t="s">
        <v>667</v>
      </c>
      <c r="AD25" s="131" t="s">
        <v>668</v>
      </c>
      <c r="AE25" s="131" t="s">
        <v>669</v>
      </c>
    </row>
    <row r="26" ht="14.25" customHeight="1">
      <c r="A26" s="132" t="s">
        <v>618</v>
      </c>
      <c r="B26" s="132" t="s">
        <v>615</v>
      </c>
      <c r="C26" s="133" t="s">
        <v>616</v>
      </c>
      <c r="D26" s="133" t="s">
        <v>617</v>
      </c>
      <c r="E26" s="134">
        <v>1.0</v>
      </c>
      <c r="F26" s="135" t="str">
        <f>IF(A26="","",VLOOKUP(A26,'Cotizador Compras'!$A$5:$J$21,2,FALSE))</f>
        <v>YOUR BRAND</v>
      </c>
      <c r="G26" s="136">
        <f>IF(A26="","",VLOOKUP(A26,'Cotizador Compras'!$A$5:$J$21,3,FALSE))</f>
        <v>37000</v>
      </c>
      <c r="H26" s="105">
        <f>IF(OR(A26="",D26=""),"",IF(D26="Sin estampar",0,IF(D26="Pecho",VLOOKUP(A26,'Cotizador Compras'!$A$5:$J$21,4,FALSE),IF(D26="Espalda",VLOOKUP(A26,'Cotizador Compras'!$A$5:$J$21,5,FALSE),VLOOKUP(A26,'Cotizador Compras'!$A$5:$J$21,4,FALSE)+VLOOKUP(A26,'Cotizador Compras'!$A$5:$J$21,5,FALSE)))))</f>
        <v>0</v>
      </c>
      <c r="I26" s="105">
        <f>IF(A26="","",VLOOKUP(A26,'Cotizador Compras'!$A$5:$J$21,6,FALSE))</f>
        <v>1700</v>
      </c>
      <c r="J26" s="105">
        <f>IF(A26="","",VLOOKUP(A26,'Cotizador Compras'!$A$5:$J$21,7,FALSE))</f>
        <v>1000</v>
      </c>
      <c r="K26" s="137">
        <f t="shared" ref="K26:K163" si="1">IF(OR(A26="",E26=""),"",(G26+H26+I26+J26)*E26)</f>
        <v>39700</v>
      </c>
      <c r="L26" s="105">
        <f>IF(A26="","",IF(D26="Sin estampar",VLOOKUP(A26,'Cotizador Compras'!$A$5:$J$21,8,FALSE),IF(D26="Pecho",VLOOKUP(A26,'Cotizador Compras'!$A$5:$J$21,10,FALSE),VLOOKUP(A26,'Cotizador Compras'!$A$5:$J$21,9,FALSE))))</f>
        <v>75000</v>
      </c>
      <c r="M26" s="138">
        <f t="shared" ref="M26:M163" si="2">IF(OR(A26="",E26=""),"",L26*E26)</f>
        <v>75000</v>
      </c>
      <c r="N26" s="105">
        <f t="shared" ref="N26:N162" si="3">+G26+H26+I26+J26</f>
        <v>39700</v>
      </c>
      <c r="O26" s="139">
        <f t="shared" ref="O26:O162" si="4">IF(L26&gt;0,(L26-N26)/L26,0)</f>
        <v>0.4706666667</v>
      </c>
      <c r="P26" s="140" t="str">
        <f t="shared" ref="P26:P163" si="5">CONCATENATE(A26," ",B26," ",C26)</f>
        <v>Camisa Oversize Peruana S Negro</v>
      </c>
      <c r="Q26" s="141" t="str">
        <f t="array" ref="Q26:Q104">+UNIQUE(P26:P163)</f>
        <v>Camisa Oversize Peruana S Negro</v>
      </c>
      <c r="R26" s="142">
        <f t="shared" ref="R26:R163" si="6">SUMIF($P$26:$P$159,Q26,$E$26:$E$159)</f>
        <v>2</v>
      </c>
      <c r="S26" s="5"/>
      <c r="T26" s="143">
        <f t="shared" ref="T26:T162" si="7">E26*G26</f>
        <v>37000</v>
      </c>
      <c r="W26" s="144"/>
      <c r="X26" s="105">
        <f t="shared" ref="X26:X162" si="8">ROUNDUP(L26*0.95,-3)*3</f>
        <v>216000</v>
      </c>
      <c r="Y26" s="139">
        <f t="shared" ref="Y26:Y162" si="9">IF(X26&gt;0,(X26-N26*3)/X26,0)</f>
        <v>0.4486111111</v>
      </c>
      <c r="Z26" s="144"/>
      <c r="AA26" s="105">
        <f t="shared" ref="AA26:AA162" si="10">+ROUNDUP(L26*0.925,-3)*6</f>
        <v>420000</v>
      </c>
      <c r="AB26" s="139">
        <f t="shared" ref="AB26:AB162" si="11">IF(AA26&gt;0,(AA26-N26*6)/AA26,0)</f>
        <v>0.4328571429</v>
      </c>
      <c r="AC26" s="144">
        <f t="shared" ref="AC26:AC162" si="12">+E26*AD26/12</f>
        <v>68000</v>
      </c>
      <c r="AD26" s="105">
        <f t="shared" ref="AD26:AD162" si="13">+ROUNDUP(L26*0.9,-3)*12</f>
        <v>816000</v>
      </c>
      <c r="AE26" s="139">
        <f t="shared" ref="AE26:AE162" si="14">IF(AD26&gt;0,(AD26-N26*12)/AD26,0)</f>
        <v>0.4161764706</v>
      </c>
    </row>
    <row r="27" ht="14.25" customHeight="1">
      <c r="A27" s="132" t="s">
        <v>618</v>
      </c>
      <c r="B27" s="132" t="s">
        <v>619</v>
      </c>
      <c r="C27" s="133" t="s">
        <v>616</v>
      </c>
      <c r="D27" s="133" t="s">
        <v>617</v>
      </c>
      <c r="E27" s="134">
        <v>4.0</v>
      </c>
      <c r="F27" s="135" t="str">
        <f>IF(A27="","",VLOOKUP(A27,'Cotizador Compras'!$A$5:$J$21,2,FALSE))</f>
        <v>YOUR BRAND</v>
      </c>
      <c r="G27" s="136">
        <f>IF(A27="","",VLOOKUP(A27,'Cotizador Compras'!$A$5:$J$21,3,FALSE))</f>
        <v>37000</v>
      </c>
      <c r="H27" s="105">
        <f>IF(OR(A27="",D27=""),"",IF(D27="Sin estampar",0,IF(D27="Pecho",VLOOKUP(A27,'Cotizador Compras'!$A$5:$J$21,4,FALSE),IF(D27="Espalda",VLOOKUP(A27,'Cotizador Compras'!$A$5:$J$21,5,FALSE),VLOOKUP(A27,'Cotizador Compras'!$A$5:$J$21,4,FALSE)+VLOOKUP(A27,'Cotizador Compras'!$A$5:$J$21,5,FALSE)))))</f>
        <v>0</v>
      </c>
      <c r="I27" s="105">
        <f>IF(A27="","",VLOOKUP(A27,'Cotizador Compras'!$A$5:$J$21,6,FALSE))</f>
        <v>1700</v>
      </c>
      <c r="J27" s="105">
        <f>IF(A27="","",VLOOKUP(A27,'Cotizador Compras'!$A$5:$J$21,7,FALSE))</f>
        <v>1000</v>
      </c>
      <c r="K27" s="137">
        <f t="shared" si="1"/>
        <v>158800</v>
      </c>
      <c r="L27" s="105">
        <f>IF(A27="","",IF(D27="Sin estampar",VLOOKUP(A27,'Cotizador Compras'!$A$5:$J$21,8,FALSE),IF(D27="Pecho",VLOOKUP(A27,'Cotizador Compras'!$A$5:$J$21,10,FALSE),VLOOKUP(A27,'Cotizador Compras'!$A$5:$J$21,9,FALSE))))</f>
        <v>75000</v>
      </c>
      <c r="M27" s="138">
        <f t="shared" si="2"/>
        <v>300000</v>
      </c>
      <c r="N27" s="105">
        <f t="shared" si="3"/>
        <v>39700</v>
      </c>
      <c r="O27" s="139">
        <f t="shared" si="4"/>
        <v>0.4706666667</v>
      </c>
      <c r="P27" s="140" t="str">
        <f t="shared" si="5"/>
        <v>Camisa Oversize Peruana M Negro</v>
      </c>
      <c r="Q27" s="145" t="s">
        <v>196</v>
      </c>
      <c r="R27" s="142">
        <f t="shared" si="6"/>
        <v>6</v>
      </c>
      <c r="T27" s="143">
        <f t="shared" si="7"/>
        <v>148000</v>
      </c>
      <c r="W27" s="144"/>
      <c r="X27" s="105">
        <f t="shared" si="8"/>
        <v>216000</v>
      </c>
      <c r="Y27" s="139">
        <f t="shared" si="9"/>
        <v>0.4486111111</v>
      </c>
      <c r="Z27" s="144"/>
      <c r="AA27" s="105">
        <f t="shared" si="10"/>
        <v>420000</v>
      </c>
      <c r="AB27" s="139">
        <f t="shared" si="11"/>
        <v>0.4328571429</v>
      </c>
      <c r="AC27" s="144">
        <f t="shared" si="12"/>
        <v>272000</v>
      </c>
      <c r="AD27" s="105">
        <f t="shared" si="13"/>
        <v>816000</v>
      </c>
      <c r="AE27" s="139">
        <f t="shared" si="14"/>
        <v>0.4161764706</v>
      </c>
    </row>
    <row r="28" ht="14.25" customHeight="1">
      <c r="A28" s="132" t="s">
        <v>618</v>
      </c>
      <c r="B28" s="132" t="s">
        <v>623</v>
      </c>
      <c r="C28" s="133" t="s">
        <v>616</v>
      </c>
      <c r="D28" s="133" t="s">
        <v>617</v>
      </c>
      <c r="E28" s="134">
        <v>4.0</v>
      </c>
      <c r="F28" s="135" t="str">
        <f>IF(A28="","",VLOOKUP(A28,'Cotizador Compras'!$A$5:$J$21,2,FALSE))</f>
        <v>YOUR BRAND</v>
      </c>
      <c r="G28" s="136">
        <f>IF(A28="","",VLOOKUP(A28,'Cotizador Compras'!$A$5:$J$21,3,FALSE))</f>
        <v>37000</v>
      </c>
      <c r="H28" s="105">
        <f>IF(OR(A28="",D28=""),"",IF(D28="Sin estampar",0,IF(D28="Pecho",VLOOKUP(A28,'Cotizador Compras'!$A$5:$J$21,4,FALSE),IF(D28="Espalda",VLOOKUP(A28,'Cotizador Compras'!$A$5:$J$21,5,FALSE),VLOOKUP(A28,'Cotizador Compras'!$A$5:$J$21,4,FALSE)+VLOOKUP(A28,'Cotizador Compras'!$A$5:$J$21,5,FALSE)))))</f>
        <v>0</v>
      </c>
      <c r="I28" s="105">
        <f>IF(A28="","",VLOOKUP(A28,'Cotizador Compras'!$A$5:$J$21,6,FALSE))</f>
        <v>1700</v>
      </c>
      <c r="J28" s="105">
        <f>IF(A28="","",VLOOKUP(A28,'Cotizador Compras'!$A$5:$J$21,7,FALSE))</f>
        <v>1000</v>
      </c>
      <c r="K28" s="137">
        <f t="shared" si="1"/>
        <v>158800</v>
      </c>
      <c r="L28" s="105">
        <f>IF(A28="","",IF(D28="Sin estampar",VLOOKUP(A28,'Cotizador Compras'!$A$5:$J$21,8,FALSE),IF(D28="Pecho",VLOOKUP(A28,'Cotizador Compras'!$A$5:$J$21,10,FALSE),VLOOKUP(A28,'Cotizador Compras'!$A$5:$J$21,9,FALSE))))</f>
        <v>75000</v>
      </c>
      <c r="M28" s="138">
        <f t="shared" si="2"/>
        <v>300000</v>
      </c>
      <c r="N28" s="105">
        <f t="shared" si="3"/>
        <v>39700</v>
      </c>
      <c r="O28" s="139">
        <f t="shared" si="4"/>
        <v>0.4706666667</v>
      </c>
      <c r="P28" s="140" t="str">
        <f t="shared" si="5"/>
        <v>Camisa Oversize Peruana L Negro</v>
      </c>
      <c r="Q28" s="145" t="s">
        <v>198</v>
      </c>
      <c r="R28" s="142">
        <f t="shared" si="6"/>
        <v>6</v>
      </c>
      <c r="T28" s="143">
        <f t="shared" si="7"/>
        <v>148000</v>
      </c>
      <c r="W28" s="144"/>
      <c r="X28" s="105">
        <f t="shared" si="8"/>
        <v>216000</v>
      </c>
      <c r="Y28" s="139">
        <f t="shared" si="9"/>
        <v>0.4486111111</v>
      </c>
      <c r="Z28" s="144"/>
      <c r="AA28" s="105">
        <f t="shared" si="10"/>
        <v>420000</v>
      </c>
      <c r="AB28" s="139">
        <f t="shared" si="11"/>
        <v>0.4328571429</v>
      </c>
      <c r="AC28" s="144">
        <f t="shared" si="12"/>
        <v>272000</v>
      </c>
      <c r="AD28" s="105">
        <f t="shared" si="13"/>
        <v>816000</v>
      </c>
      <c r="AE28" s="139">
        <f t="shared" si="14"/>
        <v>0.4161764706</v>
      </c>
    </row>
    <row r="29" ht="14.25" customHeight="1">
      <c r="A29" s="132" t="s">
        <v>618</v>
      </c>
      <c r="B29" s="132" t="s">
        <v>627</v>
      </c>
      <c r="C29" s="133" t="s">
        <v>616</v>
      </c>
      <c r="D29" s="133" t="s">
        <v>617</v>
      </c>
      <c r="E29" s="134">
        <v>4.0</v>
      </c>
      <c r="F29" s="135" t="str">
        <f>IF(A29="","",VLOOKUP(A29,'Cotizador Compras'!$A$5:$J$21,2,FALSE))</f>
        <v>YOUR BRAND</v>
      </c>
      <c r="G29" s="136">
        <f>IF(A29="","",VLOOKUP(A29,'Cotizador Compras'!$A$5:$J$21,3,FALSE))</f>
        <v>37000</v>
      </c>
      <c r="H29" s="105">
        <f>IF(OR(A29="",D29=""),"",IF(D29="Sin estampar",0,IF(D29="Pecho",VLOOKUP(A29,'Cotizador Compras'!$A$5:$J$21,4,FALSE),IF(D29="Espalda",VLOOKUP(A29,'Cotizador Compras'!$A$5:$J$21,5,FALSE),VLOOKUP(A29,'Cotizador Compras'!$A$5:$J$21,4,FALSE)+VLOOKUP(A29,'Cotizador Compras'!$A$5:$J$21,5,FALSE)))))</f>
        <v>0</v>
      </c>
      <c r="I29" s="105">
        <f>IF(A29="","",VLOOKUP(A29,'Cotizador Compras'!$A$5:$J$21,6,FALSE))</f>
        <v>1700</v>
      </c>
      <c r="J29" s="105">
        <f>IF(A29="","",VLOOKUP(A29,'Cotizador Compras'!$A$5:$J$21,7,FALSE))</f>
        <v>1000</v>
      </c>
      <c r="K29" s="137">
        <f t="shared" si="1"/>
        <v>158800</v>
      </c>
      <c r="L29" s="105">
        <f>IF(A29="","",IF(D29="Sin estampar",VLOOKUP(A29,'Cotizador Compras'!$A$5:$J$21,8,FALSE),IF(D29="Pecho",VLOOKUP(A29,'Cotizador Compras'!$A$5:$J$21,10,FALSE),VLOOKUP(A29,'Cotizador Compras'!$A$5:$J$21,9,FALSE))))</f>
        <v>75000</v>
      </c>
      <c r="M29" s="138">
        <f t="shared" si="2"/>
        <v>300000</v>
      </c>
      <c r="N29" s="105">
        <f t="shared" si="3"/>
        <v>39700</v>
      </c>
      <c r="O29" s="139">
        <f t="shared" si="4"/>
        <v>0.4706666667</v>
      </c>
      <c r="P29" s="140" t="str">
        <f t="shared" si="5"/>
        <v>Camisa Oversize Peruana XL Negro</v>
      </c>
      <c r="Q29" s="145" t="s">
        <v>200</v>
      </c>
      <c r="R29" s="142">
        <f t="shared" si="6"/>
        <v>6</v>
      </c>
      <c r="T29" s="143">
        <f t="shared" si="7"/>
        <v>148000</v>
      </c>
      <c r="W29" s="144"/>
      <c r="X29" s="105">
        <f t="shared" si="8"/>
        <v>216000</v>
      </c>
      <c r="Y29" s="139">
        <f t="shared" si="9"/>
        <v>0.4486111111</v>
      </c>
      <c r="Z29" s="144"/>
      <c r="AA29" s="105">
        <f t="shared" si="10"/>
        <v>420000</v>
      </c>
      <c r="AB29" s="139">
        <f t="shared" si="11"/>
        <v>0.4328571429</v>
      </c>
      <c r="AC29" s="144">
        <f t="shared" si="12"/>
        <v>272000</v>
      </c>
      <c r="AD29" s="105">
        <f t="shared" si="13"/>
        <v>816000</v>
      </c>
      <c r="AE29" s="139">
        <f t="shared" si="14"/>
        <v>0.4161764706</v>
      </c>
    </row>
    <row r="30" ht="14.25" customHeight="1">
      <c r="A30" s="132" t="s">
        <v>618</v>
      </c>
      <c r="B30" s="132" t="s">
        <v>615</v>
      </c>
      <c r="C30" s="133" t="s">
        <v>620</v>
      </c>
      <c r="D30" s="133" t="s">
        <v>617</v>
      </c>
      <c r="E30" s="134">
        <v>1.0</v>
      </c>
      <c r="F30" s="135" t="str">
        <f>IF(A30="","",VLOOKUP(A30,'Cotizador Compras'!$A$5:$J$21,2,FALSE))</f>
        <v>YOUR BRAND</v>
      </c>
      <c r="G30" s="136">
        <f>IF(A30="","",VLOOKUP(A30,'Cotizador Compras'!$A$5:$J$21,3,FALSE))</f>
        <v>37000</v>
      </c>
      <c r="H30" s="105">
        <f>IF(OR(A30="",D30=""),"",IF(D30="Sin estampar",0,IF(D30="Pecho",VLOOKUP(A30,'Cotizador Compras'!$A$5:$J$21,4,FALSE),IF(D30="Espalda",VLOOKUP(A30,'Cotizador Compras'!$A$5:$J$21,5,FALSE),VLOOKUP(A30,'Cotizador Compras'!$A$5:$J$21,4,FALSE)+VLOOKUP(A30,'Cotizador Compras'!$A$5:$J$21,5,FALSE)))))</f>
        <v>0</v>
      </c>
      <c r="I30" s="105">
        <f>IF(A30="","",VLOOKUP(A30,'Cotizador Compras'!$A$5:$J$21,6,FALSE))</f>
        <v>1700</v>
      </c>
      <c r="J30" s="105">
        <f>IF(A30="","",VLOOKUP(A30,'Cotizador Compras'!$A$5:$J$21,7,FALSE))</f>
        <v>1000</v>
      </c>
      <c r="K30" s="137">
        <f t="shared" si="1"/>
        <v>39700</v>
      </c>
      <c r="L30" s="105">
        <f>IF(A30="","",IF(D30="Sin estampar",VLOOKUP(A30,'Cotizador Compras'!$A$5:$J$21,8,FALSE),IF(D30="Pecho",VLOOKUP(A30,'Cotizador Compras'!$A$5:$J$21,10,FALSE),VLOOKUP(A30,'Cotizador Compras'!$A$5:$J$21,9,FALSE))))</f>
        <v>75000</v>
      </c>
      <c r="M30" s="138">
        <f t="shared" si="2"/>
        <v>75000</v>
      </c>
      <c r="N30" s="105">
        <f t="shared" si="3"/>
        <v>39700</v>
      </c>
      <c r="O30" s="139">
        <f t="shared" si="4"/>
        <v>0.4706666667</v>
      </c>
      <c r="P30" s="140" t="str">
        <f t="shared" si="5"/>
        <v>Camisa Oversize Peruana S Blanco</v>
      </c>
      <c r="Q30" s="145" t="s">
        <v>202</v>
      </c>
      <c r="R30" s="142">
        <f t="shared" si="6"/>
        <v>2</v>
      </c>
      <c r="T30" s="143">
        <f t="shared" si="7"/>
        <v>37000</v>
      </c>
      <c r="W30" s="144"/>
      <c r="X30" s="105">
        <f t="shared" si="8"/>
        <v>216000</v>
      </c>
      <c r="Y30" s="139">
        <f t="shared" si="9"/>
        <v>0.4486111111</v>
      </c>
      <c r="Z30" s="144"/>
      <c r="AA30" s="105">
        <f t="shared" si="10"/>
        <v>420000</v>
      </c>
      <c r="AB30" s="139">
        <f t="shared" si="11"/>
        <v>0.4328571429</v>
      </c>
      <c r="AC30" s="144">
        <f t="shared" si="12"/>
        <v>68000</v>
      </c>
      <c r="AD30" s="105">
        <f t="shared" si="13"/>
        <v>816000</v>
      </c>
      <c r="AE30" s="139">
        <f t="shared" si="14"/>
        <v>0.4161764706</v>
      </c>
    </row>
    <row r="31" ht="14.25" customHeight="1">
      <c r="A31" s="132" t="s">
        <v>618</v>
      </c>
      <c r="B31" s="132" t="s">
        <v>619</v>
      </c>
      <c r="C31" s="133" t="s">
        <v>620</v>
      </c>
      <c r="D31" s="133" t="s">
        <v>617</v>
      </c>
      <c r="E31" s="134">
        <v>4.0</v>
      </c>
      <c r="F31" s="135" t="str">
        <f>IF(A31="","",VLOOKUP(A31,'Cotizador Compras'!$A$5:$J$21,2,FALSE))</f>
        <v>YOUR BRAND</v>
      </c>
      <c r="G31" s="136">
        <f>IF(A31="","",VLOOKUP(A31,'Cotizador Compras'!$A$5:$J$21,3,FALSE))</f>
        <v>37000</v>
      </c>
      <c r="H31" s="105">
        <f>IF(OR(A31="",D31=""),"",IF(D31="Sin estampar",0,IF(D31="Pecho",VLOOKUP(A31,'Cotizador Compras'!$A$5:$J$21,4,FALSE),IF(D31="Espalda",VLOOKUP(A31,'Cotizador Compras'!$A$5:$J$21,5,FALSE),VLOOKUP(A31,'Cotizador Compras'!$A$5:$J$21,4,FALSE)+VLOOKUP(A31,'Cotizador Compras'!$A$5:$J$21,5,FALSE)))))</f>
        <v>0</v>
      </c>
      <c r="I31" s="105">
        <f>IF(A31="","",VLOOKUP(A31,'Cotizador Compras'!$A$5:$J$21,6,FALSE))</f>
        <v>1700</v>
      </c>
      <c r="J31" s="105">
        <f>IF(A31="","",VLOOKUP(A31,'Cotizador Compras'!$A$5:$J$21,7,FALSE))</f>
        <v>1000</v>
      </c>
      <c r="K31" s="137">
        <f t="shared" si="1"/>
        <v>158800</v>
      </c>
      <c r="L31" s="105">
        <f>IF(A31="","",IF(D31="Sin estampar",VLOOKUP(A31,'Cotizador Compras'!$A$5:$J$21,8,FALSE),IF(D31="Pecho",VLOOKUP(A31,'Cotizador Compras'!$A$5:$J$21,10,FALSE),VLOOKUP(A31,'Cotizador Compras'!$A$5:$J$21,9,FALSE))))</f>
        <v>75000</v>
      </c>
      <c r="M31" s="138">
        <f t="shared" si="2"/>
        <v>300000</v>
      </c>
      <c r="N31" s="105">
        <f t="shared" si="3"/>
        <v>39700</v>
      </c>
      <c r="O31" s="139">
        <f t="shared" si="4"/>
        <v>0.4706666667</v>
      </c>
      <c r="P31" s="140" t="str">
        <f t="shared" si="5"/>
        <v>Camisa Oversize Peruana M Blanco</v>
      </c>
      <c r="Q31" s="145" t="s">
        <v>204</v>
      </c>
      <c r="R31" s="142">
        <f t="shared" si="6"/>
        <v>6</v>
      </c>
      <c r="T31" s="143">
        <f t="shared" si="7"/>
        <v>148000</v>
      </c>
      <c r="W31" s="144"/>
      <c r="X31" s="105">
        <f t="shared" si="8"/>
        <v>216000</v>
      </c>
      <c r="Y31" s="139">
        <f t="shared" si="9"/>
        <v>0.4486111111</v>
      </c>
      <c r="Z31" s="144"/>
      <c r="AA31" s="105">
        <f t="shared" si="10"/>
        <v>420000</v>
      </c>
      <c r="AB31" s="139">
        <f t="shared" si="11"/>
        <v>0.4328571429</v>
      </c>
      <c r="AC31" s="144">
        <f t="shared" si="12"/>
        <v>272000</v>
      </c>
      <c r="AD31" s="105">
        <f t="shared" si="13"/>
        <v>816000</v>
      </c>
      <c r="AE31" s="139">
        <f t="shared" si="14"/>
        <v>0.4161764706</v>
      </c>
    </row>
    <row r="32" ht="14.25" customHeight="1">
      <c r="A32" s="132" t="s">
        <v>618</v>
      </c>
      <c r="B32" s="132" t="s">
        <v>623</v>
      </c>
      <c r="C32" s="133" t="s">
        <v>620</v>
      </c>
      <c r="D32" s="133" t="s">
        <v>617</v>
      </c>
      <c r="E32" s="134">
        <v>4.0</v>
      </c>
      <c r="F32" s="135" t="str">
        <f>IF(A32="","",VLOOKUP(A32,'Cotizador Compras'!$A$5:$J$21,2,FALSE))</f>
        <v>YOUR BRAND</v>
      </c>
      <c r="G32" s="136">
        <f>IF(A32="","",VLOOKUP(A32,'Cotizador Compras'!$A$5:$J$21,3,FALSE))</f>
        <v>37000</v>
      </c>
      <c r="H32" s="105">
        <f>IF(OR(A32="",D32=""),"",IF(D32="Sin estampar",0,IF(D32="Pecho",VLOOKUP(A32,'Cotizador Compras'!$A$5:$J$21,4,FALSE),IF(D32="Espalda",VLOOKUP(A32,'Cotizador Compras'!$A$5:$J$21,5,FALSE),VLOOKUP(A32,'Cotizador Compras'!$A$5:$J$21,4,FALSE)+VLOOKUP(A32,'Cotizador Compras'!$A$5:$J$21,5,FALSE)))))</f>
        <v>0</v>
      </c>
      <c r="I32" s="105">
        <f>IF(A32="","",VLOOKUP(A32,'Cotizador Compras'!$A$5:$J$21,6,FALSE))</f>
        <v>1700</v>
      </c>
      <c r="J32" s="105">
        <f>IF(A32="","",VLOOKUP(A32,'Cotizador Compras'!$A$5:$J$21,7,FALSE))</f>
        <v>1000</v>
      </c>
      <c r="K32" s="137">
        <f t="shared" si="1"/>
        <v>158800</v>
      </c>
      <c r="L32" s="105">
        <f>IF(A32="","",IF(D32="Sin estampar",VLOOKUP(A32,'Cotizador Compras'!$A$5:$J$21,8,FALSE),IF(D32="Pecho",VLOOKUP(A32,'Cotizador Compras'!$A$5:$J$21,10,FALSE),VLOOKUP(A32,'Cotizador Compras'!$A$5:$J$21,9,FALSE))))</f>
        <v>75000</v>
      </c>
      <c r="M32" s="138">
        <f t="shared" si="2"/>
        <v>300000</v>
      </c>
      <c r="N32" s="105">
        <f t="shared" si="3"/>
        <v>39700</v>
      </c>
      <c r="O32" s="139">
        <f t="shared" si="4"/>
        <v>0.4706666667</v>
      </c>
      <c r="P32" s="140" t="str">
        <f t="shared" si="5"/>
        <v>Camisa Oversize Peruana L Blanco</v>
      </c>
      <c r="Q32" s="145" t="s">
        <v>206</v>
      </c>
      <c r="R32" s="142">
        <f t="shared" si="6"/>
        <v>6</v>
      </c>
      <c r="T32" s="143">
        <f t="shared" si="7"/>
        <v>148000</v>
      </c>
      <c r="W32" s="144"/>
      <c r="X32" s="105">
        <f t="shared" si="8"/>
        <v>216000</v>
      </c>
      <c r="Y32" s="139">
        <f t="shared" si="9"/>
        <v>0.4486111111</v>
      </c>
      <c r="Z32" s="144"/>
      <c r="AA32" s="105">
        <f t="shared" si="10"/>
        <v>420000</v>
      </c>
      <c r="AB32" s="139">
        <f t="shared" si="11"/>
        <v>0.4328571429</v>
      </c>
      <c r="AC32" s="144">
        <f t="shared" si="12"/>
        <v>272000</v>
      </c>
      <c r="AD32" s="105">
        <f t="shared" si="13"/>
        <v>816000</v>
      </c>
      <c r="AE32" s="139">
        <f t="shared" si="14"/>
        <v>0.4161764706</v>
      </c>
    </row>
    <row r="33" ht="14.25" customHeight="1">
      <c r="A33" s="132" t="s">
        <v>618</v>
      </c>
      <c r="B33" s="132" t="s">
        <v>627</v>
      </c>
      <c r="C33" s="133" t="s">
        <v>620</v>
      </c>
      <c r="D33" s="133" t="s">
        <v>617</v>
      </c>
      <c r="E33" s="134">
        <v>4.0</v>
      </c>
      <c r="F33" s="135" t="str">
        <f>IF(A33="","",VLOOKUP(A33,'Cotizador Compras'!$A$5:$J$21,2,FALSE))</f>
        <v>YOUR BRAND</v>
      </c>
      <c r="G33" s="136">
        <f>IF(A33="","",VLOOKUP(A33,'Cotizador Compras'!$A$5:$J$21,3,FALSE))</f>
        <v>37000</v>
      </c>
      <c r="H33" s="105">
        <f>IF(OR(A33="",D33=""),"",IF(D33="Sin estampar",0,IF(D33="Pecho",VLOOKUP(A33,'Cotizador Compras'!$A$5:$J$21,4,FALSE),IF(D33="Espalda",VLOOKUP(A33,'Cotizador Compras'!$A$5:$J$21,5,FALSE),VLOOKUP(A33,'Cotizador Compras'!$A$5:$J$21,4,FALSE)+VLOOKUP(A33,'Cotizador Compras'!$A$5:$J$21,5,FALSE)))))</f>
        <v>0</v>
      </c>
      <c r="I33" s="105">
        <f>IF(A33="","",VLOOKUP(A33,'Cotizador Compras'!$A$5:$J$21,6,FALSE))</f>
        <v>1700</v>
      </c>
      <c r="J33" s="105">
        <f>IF(A33="","",VLOOKUP(A33,'Cotizador Compras'!$A$5:$J$21,7,FALSE))</f>
        <v>1000</v>
      </c>
      <c r="K33" s="137">
        <f t="shared" si="1"/>
        <v>158800</v>
      </c>
      <c r="L33" s="105">
        <f>IF(A33="","",IF(D33="Sin estampar",VLOOKUP(A33,'Cotizador Compras'!$A$5:$J$21,8,FALSE),IF(D33="Pecho",VLOOKUP(A33,'Cotizador Compras'!$A$5:$J$21,10,FALSE),VLOOKUP(A33,'Cotizador Compras'!$A$5:$J$21,9,FALSE))))</f>
        <v>75000</v>
      </c>
      <c r="M33" s="138">
        <f t="shared" si="2"/>
        <v>300000</v>
      </c>
      <c r="N33" s="105">
        <f t="shared" si="3"/>
        <v>39700</v>
      </c>
      <c r="O33" s="139">
        <f t="shared" si="4"/>
        <v>0.4706666667</v>
      </c>
      <c r="P33" s="140" t="str">
        <f t="shared" si="5"/>
        <v>Camisa Oversize Peruana XL Blanco</v>
      </c>
      <c r="Q33" s="145" t="s">
        <v>208</v>
      </c>
      <c r="R33" s="142">
        <f t="shared" si="6"/>
        <v>6</v>
      </c>
      <c r="T33" s="143">
        <f t="shared" si="7"/>
        <v>148000</v>
      </c>
      <c r="W33" s="144"/>
      <c r="X33" s="105">
        <f t="shared" si="8"/>
        <v>216000</v>
      </c>
      <c r="Y33" s="139">
        <f t="shared" si="9"/>
        <v>0.4486111111</v>
      </c>
      <c r="Z33" s="144"/>
      <c r="AA33" s="105">
        <f t="shared" si="10"/>
        <v>420000</v>
      </c>
      <c r="AB33" s="139">
        <f t="shared" si="11"/>
        <v>0.4328571429</v>
      </c>
      <c r="AC33" s="144">
        <f t="shared" si="12"/>
        <v>272000</v>
      </c>
      <c r="AD33" s="105">
        <f t="shared" si="13"/>
        <v>816000</v>
      </c>
      <c r="AE33" s="139">
        <f t="shared" si="14"/>
        <v>0.4161764706</v>
      </c>
    </row>
    <row r="34" ht="14.25" customHeight="1">
      <c r="A34" s="132" t="s">
        <v>618</v>
      </c>
      <c r="B34" s="132" t="s">
        <v>615</v>
      </c>
      <c r="C34" s="132" t="s">
        <v>632</v>
      </c>
      <c r="D34" s="133" t="s">
        <v>617</v>
      </c>
      <c r="E34" s="134">
        <v>1.0</v>
      </c>
      <c r="F34" s="135" t="str">
        <f>IF(A34="","",VLOOKUP(A34,'Cotizador Compras'!$A$5:$J$21,2,FALSE))</f>
        <v>YOUR BRAND</v>
      </c>
      <c r="G34" s="136">
        <f>IF(A34="","",VLOOKUP(A34,'Cotizador Compras'!$A$5:$J$21,3,FALSE))</f>
        <v>37000</v>
      </c>
      <c r="H34" s="105">
        <f>IF(OR(A34="",D34=""),"",IF(D34="Sin estampar",0,IF(D34="Pecho",VLOOKUP(A34,'Cotizador Compras'!$A$5:$J$21,4,FALSE),IF(D34="Espalda",VLOOKUP(A34,'Cotizador Compras'!$A$5:$J$21,5,FALSE),VLOOKUP(A34,'Cotizador Compras'!$A$5:$J$21,4,FALSE)+VLOOKUP(A34,'Cotizador Compras'!$A$5:$J$21,5,FALSE)))))</f>
        <v>0</v>
      </c>
      <c r="I34" s="105">
        <f>IF(A34="","",VLOOKUP(A34,'Cotizador Compras'!$A$5:$J$21,6,FALSE))</f>
        <v>1700</v>
      </c>
      <c r="J34" s="105">
        <f>IF(A34="","",VLOOKUP(A34,'Cotizador Compras'!$A$5:$J$21,7,FALSE))</f>
        <v>1000</v>
      </c>
      <c r="K34" s="137">
        <f t="shared" si="1"/>
        <v>39700</v>
      </c>
      <c r="L34" s="105">
        <f>IF(A34="","",IF(D34="Sin estampar",VLOOKUP(A34,'Cotizador Compras'!$A$5:$J$21,8,FALSE),IF(D34="Pecho",VLOOKUP(A34,'Cotizador Compras'!$A$5:$J$21,10,FALSE),VLOOKUP(A34,'Cotizador Compras'!$A$5:$J$21,9,FALSE))))</f>
        <v>75000</v>
      </c>
      <c r="M34" s="138">
        <f t="shared" si="2"/>
        <v>75000</v>
      </c>
      <c r="N34" s="105">
        <f t="shared" si="3"/>
        <v>39700</v>
      </c>
      <c r="O34" s="139">
        <f t="shared" si="4"/>
        <v>0.4706666667</v>
      </c>
      <c r="P34" s="140" t="str">
        <f t="shared" si="5"/>
        <v>Camisa Oversize Peruana S Perla</v>
      </c>
      <c r="Q34" s="145" t="s">
        <v>210</v>
      </c>
      <c r="R34" s="142">
        <f t="shared" si="6"/>
        <v>2</v>
      </c>
      <c r="T34" s="143">
        <f t="shared" si="7"/>
        <v>37000</v>
      </c>
      <c r="W34" s="144"/>
      <c r="X34" s="105">
        <f t="shared" si="8"/>
        <v>216000</v>
      </c>
      <c r="Y34" s="139">
        <f t="shared" si="9"/>
        <v>0.4486111111</v>
      </c>
      <c r="Z34" s="144"/>
      <c r="AA34" s="105">
        <f t="shared" si="10"/>
        <v>420000</v>
      </c>
      <c r="AB34" s="139">
        <f t="shared" si="11"/>
        <v>0.4328571429</v>
      </c>
      <c r="AC34" s="144">
        <f t="shared" si="12"/>
        <v>68000</v>
      </c>
      <c r="AD34" s="105">
        <f t="shared" si="13"/>
        <v>816000</v>
      </c>
      <c r="AE34" s="139">
        <f t="shared" si="14"/>
        <v>0.4161764706</v>
      </c>
    </row>
    <row r="35" ht="14.25" customHeight="1">
      <c r="A35" s="132" t="s">
        <v>618</v>
      </c>
      <c r="B35" s="132" t="s">
        <v>619</v>
      </c>
      <c r="C35" s="132" t="s">
        <v>632</v>
      </c>
      <c r="D35" s="133" t="s">
        <v>617</v>
      </c>
      <c r="E35" s="134">
        <v>4.0</v>
      </c>
      <c r="F35" s="135" t="str">
        <f>IF(A35="","",VLOOKUP(A35,'Cotizador Compras'!$A$5:$J$21,2,FALSE))</f>
        <v>YOUR BRAND</v>
      </c>
      <c r="G35" s="136">
        <f>IF(A35="","",VLOOKUP(A35,'Cotizador Compras'!$A$5:$J$21,3,FALSE))</f>
        <v>37000</v>
      </c>
      <c r="H35" s="105">
        <f>IF(OR(A35="",D35=""),"",IF(D35="Sin estampar",0,IF(D35="Pecho",VLOOKUP(A35,'Cotizador Compras'!$A$5:$J$21,4,FALSE),IF(D35="Espalda",VLOOKUP(A35,'Cotizador Compras'!$A$5:$J$21,5,FALSE),VLOOKUP(A35,'Cotizador Compras'!$A$5:$J$21,4,FALSE)+VLOOKUP(A35,'Cotizador Compras'!$A$5:$J$21,5,FALSE)))))</f>
        <v>0</v>
      </c>
      <c r="I35" s="105">
        <f>IF(A35="","",VLOOKUP(A35,'Cotizador Compras'!$A$5:$J$21,6,FALSE))</f>
        <v>1700</v>
      </c>
      <c r="J35" s="105">
        <f>IF(A35="","",VLOOKUP(A35,'Cotizador Compras'!$A$5:$J$21,7,FALSE))</f>
        <v>1000</v>
      </c>
      <c r="K35" s="137">
        <f t="shared" si="1"/>
        <v>158800</v>
      </c>
      <c r="L35" s="105">
        <f>IF(A35="","",IF(D35="Sin estampar",VLOOKUP(A35,'Cotizador Compras'!$A$5:$J$21,8,FALSE),IF(D35="Pecho",VLOOKUP(A35,'Cotizador Compras'!$A$5:$J$21,10,FALSE),VLOOKUP(A35,'Cotizador Compras'!$A$5:$J$21,9,FALSE))))</f>
        <v>75000</v>
      </c>
      <c r="M35" s="138">
        <f t="shared" si="2"/>
        <v>300000</v>
      </c>
      <c r="N35" s="105">
        <f t="shared" si="3"/>
        <v>39700</v>
      </c>
      <c r="O35" s="139">
        <f t="shared" si="4"/>
        <v>0.4706666667</v>
      </c>
      <c r="P35" s="140" t="str">
        <f t="shared" si="5"/>
        <v>Camisa Oversize Peruana M Perla</v>
      </c>
      <c r="Q35" s="145" t="s">
        <v>212</v>
      </c>
      <c r="R35" s="142">
        <f t="shared" si="6"/>
        <v>6</v>
      </c>
      <c r="T35" s="143">
        <f t="shared" si="7"/>
        <v>148000</v>
      </c>
      <c r="W35" s="144"/>
      <c r="X35" s="105">
        <f t="shared" si="8"/>
        <v>216000</v>
      </c>
      <c r="Y35" s="139">
        <f t="shared" si="9"/>
        <v>0.4486111111</v>
      </c>
      <c r="Z35" s="144"/>
      <c r="AA35" s="105">
        <f t="shared" si="10"/>
        <v>420000</v>
      </c>
      <c r="AB35" s="139">
        <f t="shared" si="11"/>
        <v>0.4328571429</v>
      </c>
      <c r="AC35" s="144">
        <f t="shared" si="12"/>
        <v>272000</v>
      </c>
      <c r="AD35" s="105">
        <f t="shared" si="13"/>
        <v>816000</v>
      </c>
      <c r="AE35" s="139">
        <f t="shared" si="14"/>
        <v>0.4161764706</v>
      </c>
    </row>
    <row r="36" ht="14.25" customHeight="1">
      <c r="A36" s="132" t="s">
        <v>618</v>
      </c>
      <c r="B36" s="132" t="s">
        <v>623</v>
      </c>
      <c r="C36" s="132" t="s">
        <v>632</v>
      </c>
      <c r="D36" s="133" t="s">
        <v>617</v>
      </c>
      <c r="E36" s="134">
        <v>4.0</v>
      </c>
      <c r="F36" s="135" t="str">
        <f>IF(A36="","",VLOOKUP(A36,'Cotizador Compras'!$A$5:$J$21,2,FALSE))</f>
        <v>YOUR BRAND</v>
      </c>
      <c r="G36" s="136">
        <f>IF(A36="","",VLOOKUP(A36,'Cotizador Compras'!$A$5:$J$21,3,FALSE))</f>
        <v>37000</v>
      </c>
      <c r="H36" s="105">
        <f>IF(OR(A36="",D36=""),"",IF(D36="Sin estampar",0,IF(D36="Pecho",VLOOKUP(A36,'Cotizador Compras'!$A$5:$J$21,4,FALSE),IF(D36="Espalda",VLOOKUP(A36,'Cotizador Compras'!$A$5:$J$21,5,FALSE),VLOOKUP(A36,'Cotizador Compras'!$A$5:$J$21,4,FALSE)+VLOOKUP(A36,'Cotizador Compras'!$A$5:$J$21,5,FALSE)))))</f>
        <v>0</v>
      </c>
      <c r="I36" s="105">
        <f>IF(A36="","",VLOOKUP(A36,'Cotizador Compras'!$A$5:$J$21,6,FALSE))</f>
        <v>1700</v>
      </c>
      <c r="J36" s="105">
        <f>IF(A36="","",VLOOKUP(A36,'Cotizador Compras'!$A$5:$J$21,7,FALSE))</f>
        <v>1000</v>
      </c>
      <c r="K36" s="137">
        <f t="shared" si="1"/>
        <v>158800</v>
      </c>
      <c r="L36" s="105">
        <f>IF(A36="","",IF(D36="Sin estampar",VLOOKUP(A36,'Cotizador Compras'!$A$5:$J$21,8,FALSE),IF(D36="Pecho",VLOOKUP(A36,'Cotizador Compras'!$A$5:$J$21,10,FALSE),VLOOKUP(A36,'Cotizador Compras'!$A$5:$J$21,9,FALSE))))</f>
        <v>75000</v>
      </c>
      <c r="M36" s="138">
        <f t="shared" si="2"/>
        <v>300000</v>
      </c>
      <c r="N36" s="105">
        <f t="shared" si="3"/>
        <v>39700</v>
      </c>
      <c r="O36" s="139">
        <f t="shared" si="4"/>
        <v>0.4706666667</v>
      </c>
      <c r="P36" s="140" t="str">
        <f t="shared" si="5"/>
        <v>Camisa Oversize Peruana L Perla</v>
      </c>
      <c r="Q36" s="145" t="s">
        <v>214</v>
      </c>
      <c r="R36" s="142">
        <f t="shared" si="6"/>
        <v>6</v>
      </c>
      <c r="T36" s="143">
        <f t="shared" si="7"/>
        <v>148000</v>
      </c>
      <c r="W36" s="144"/>
      <c r="X36" s="105">
        <f t="shared" si="8"/>
        <v>216000</v>
      </c>
      <c r="Y36" s="139">
        <f t="shared" si="9"/>
        <v>0.4486111111</v>
      </c>
      <c r="Z36" s="144"/>
      <c r="AA36" s="105">
        <f t="shared" si="10"/>
        <v>420000</v>
      </c>
      <c r="AB36" s="139">
        <f t="shared" si="11"/>
        <v>0.4328571429</v>
      </c>
      <c r="AC36" s="144">
        <f t="shared" si="12"/>
        <v>272000</v>
      </c>
      <c r="AD36" s="105">
        <f t="shared" si="13"/>
        <v>816000</v>
      </c>
      <c r="AE36" s="139">
        <f t="shared" si="14"/>
        <v>0.4161764706</v>
      </c>
    </row>
    <row r="37" ht="14.25" customHeight="1">
      <c r="A37" s="132" t="s">
        <v>618</v>
      </c>
      <c r="B37" s="132" t="s">
        <v>627</v>
      </c>
      <c r="C37" s="132" t="s">
        <v>632</v>
      </c>
      <c r="D37" s="133" t="s">
        <v>617</v>
      </c>
      <c r="E37" s="134">
        <v>4.0</v>
      </c>
      <c r="F37" s="135" t="str">
        <f>IF(A37="","",VLOOKUP(A37,'Cotizador Compras'!$A$5:$J$21,2,FALSE))</f>
        <v>YOUR BRAND</v>
      </c>
      <c r="G37" s="136">
        <f>IF(A37="","",VLOOKUP(A37,'Cotizador Compras'!$A$5:$J$21,3,FALSE))</f>
        <v>37000</v>
      </c>
      <c r="H37" s="105">
        <f>IF(OR(A37="",D37=""),"",IF(D37="Sin estampar",0,IF(D37="Pecho",VLOOKUP(A37,'Cotizador Compras'!$A$5:$J$21,4,FALSE),IF(D37="Espalda",VLOOKUP(A37,'Cotizador Compras'!$A$5:$J$21,5,FALSE),VLOOKUP(A37,'Cotizador Compras'!$A$5:$J$21,4,FALSE)+VLOOKUP(A37,'Cotizador Compras'!$A$5:$J$21,5,FALSE)))))</f>
        <v>0</v>
      </c>
      <c r="I37" s="105">
        <f>IF(A37="","",VLOOKUP(A37,'Cotizador Compras'!$A$5:$J$21,6,FALSE))</f>
        <v>1700</v>
      </c>
      <c r="J37" s="105">
        <f>IF(A37="","",VLOOKUP(A37,'Cotizador Compras'!$A$5:$J$21,7,FALSE))</f>
        <v>1000</v>
      </c>
      <c r="K37" s="137">
        <f t="shared" si="1"/>
        <v>158800</v>
      </c>
      <c r="L37" s="105">
        <f>IF(A37="","",IF(D37="Sin estampar",VLOOKUP(A37,'Cotizador Compras'!$A$5:$J$21,8,FALSE),IF(D37="Pecho",VLOOKUP(A37,'Cotizador Compras'!$A$5:$J$21,10,FALSE),VLOOKUP(A37,'Cotizador Compras'!$A$5:$J$21,9,FALSE))))</f>
        <v>75000</v>
      </c>
      <c r="M37" s="138">
        <f t="shared" si="2"/>
        <v>300000</v>
      </c>
      <c r="N37" s="105">
        <f t="shared" si="3"/>
        <v>39700</v>
      </c>
      <c r="O37" s="139">
        <f t="shared" si="4"/>
        <v>0.4706666667</v>
      </c>
      <c r="P37" s="140" t="str">
        <f t="shared" si="5"/>
        <v>Camisa Oversize Peruana XL Perla</v>
      </c>
      <c r="Q37" s="145" t="s">
        <v>216</v>
      </c>
      <c r="R37" s="142">
        <f t="shared" si="6"/>
        <v>6</v>
      </c>
      <c r="T37" s="143">
        <f t="shared" si="7"/>
        <v>148000</v>
      </c>
      <c r="W37" s="144"/>
      <c r="X37" s="105">
        <f t="shared" si="8"/>
        <v>216000</v>
      </c>
      <c r="Y37" s="139">
        <f t="shared" si="9"/>
        <v>0.4486111111</v>
      </c>
      <c r="Z37" s="144"/>
      <c r="AA37" s="105">
        <f t="shared" si="10"/>
        <v>420000</v>
      </c>
      <c r="AB37" s="139">
        <f t="shared" si="11"/>
        <v>0.4328571429</v>
      </c>
      <c r="AC37" s="144">
        <f t="shared" si="12"/>
        <v>272000</v>
      </c>
      <c r="AD37" s="105">
        <f t="shared" si="13"/>
        <v>816000</v>
      </c>
      <c r="AE37" s="139">
        <f t="shared" si="14"/>
        <v>0.4161764706</v>
      </c>
    </row>
    <row r="38" ht="14.25" customHeight="1">
      <c r="A38" s="132" t="s">
        <v>618</v>
      </c>
      <c r="B38" s="132" t="s">
        <v>615</v>
      </c>
      <c r="C38" s="132" t="s">
        <v>628</v>
      </c>
      <c r="D38" s="133" t="s">
        <v>617</v>
      </c>
      <c r="E38" s="134">
        <v>1.0</v>
      </c>
      <c r="F38" s="135" t="str">
        <f>IF(A38="","",VLOOKUP(A38,'Cotizador Compras'!$A$5:$J$21,2,FALSE))</f>
        <v>YOUR BRAND</v>
      </c>
      <c r="G38" s="136">
        <f>IF(A38="","",VLOOKUP(A38,'Cotizador Compras'!$A$5:$J$21,3,FALSE))</f>
        <v>37000</v>
      </c>
      <c r="H38" s="105">
        <f>IF(OR(A38="",D38=""),"",IF(D38="Sin estampar",0,IF(D38="Pecho",VLOOKUP(A38,'Cotizador Compras'!$A$5:$J$21,4,FALSE),IF(D38="Espalda",VLOOKUP(A38,'Cotizador Compras'!$A$5:$J$21,5,FALSE),VLOOKUP(A38,'Cotizador Compras'!$A$5:$J$21,4,FALSE)+VLOOKUP(A38,'Cotizador Compras'!$A$5:$J$21,5,FALSE)))))</f>
        <v>0</v>
      </c>
      <c r="I38" s="105">
        <f>IF(A38="","",VLOOKUP(A38,'Cotizador Compras'!$A$5:$J$21,6,FALSE))</f>
        <v>1700</v>
      </c>
      <c r="J38" s="105">
        <f>IF(A38="","",VLOOKUP(A38,'Cotizador Compras'!$A$5:$J$21,7,FALSE))</f>
        <v>1000</v>
      </c>
      <c r="K38" s="137">
        <f t="shared" si="1"/>
        <v>39700</v>
      </c>
      <c r="L38" s="105">
        <f>IF(A38="","",IF(D38="Sin estampar",VLOOKUP(A38,'Cotizador Compras'!$A$5:$J$21,8,FALSE),IF(D38="Pecho",VLOOKUP(A38,'Cotizador Compras'!$A$5:$J$21,10,FALSE),VLOOKUP(A38,'Cotizador Compras'!$A$5:$J$21,9,FALSE))))</f>
        <v>75000</v>
      </c>
      <c r="M38" s="138">
        <f t="shared" si="2"/>
        <v>75000</v>
      </c>
      <c r="N38" s="105">
        <f t="shared" si="3"/>
        <v>39700</v>
      </c>
      <c r="O38" s="139">
        <f t="shared" si="4"/>
        <v>0.4706666667</v>
      </c>
      <c r="P38" s="140" t="str">
        <f t="shared" si="5"/>
        <v>Camisa Oversize Peruana S Beige</v>
      </c>
      <c r="Q38" s="145" t="s">
        <v>218</v>
      </c>
      <c r="R38" s="142">
        <f t="shared" si="6"/>
        <v>2</v>
      </c>
      <c r="T38" s="143">
        <f t="shared" si="7"/>
        <v>37000</v>
      </c>
      <c r="W38" s="144"/>
      <c r="X38" s="105">
        <f t="shared" si="8"/>
        <v>216000</v>
      </c>
      <c r="Y38" s="139">
        <f t="shared" si="9"/>
        <v>0.4486111111</v>
      </c>
      <c r="Z38" s="144"/>
      <c r="AA38" s="105">
        <f t="shared" si="10"/>
        <v>420000</v>
      </c>
      <c r="AB38" s="139">
        <f t="shared" si="11"/>
        <v>0.4328571429</v>
      </c>
      <c r="AC38" s="144">
        <f t="shared" si="12"/>
        <v>68000</v>
      </c>
      <c r="AD38" s="105">
        <f t="shared" si="13"/>
        <v>816000</v>
      </c>
      <c r="AE38" s="139">
        <f t="shared" si="14"/>
        <v>0.4161764706</v>
      </c>
    </row>
    <row r="39" ht="14.25" customHeight="1">
      <c r="A39" s="132" t="s">
        <v>618</v>
      </c>
      <c r="B39" s="132" t="s">
        <v>619</v>
      </c>
      <c r="C39" s="132" t="s">
        <v>628</v>
      </c>
      <c r="D39" s="133" t="s">
        <v>617</v>
      </c>
      <c r="E39" s="146">
        <v>2.0</v>
      </c>
      <c r="F39" s="135" t="str">
        <f>IF(A39="","",VLOOKUP(A39,'Cotizador Compras'!$A$5:$J$21,2,FALSE))</f>
        <v>YOUR BRAND</v>
      </c>
      <c r="G39" s="136">
        <f>IF(A39="","",VLOOKUP(A39,'Cotizador Compras'!$A$5:$J$21,3,FALSE))</f>
        <v>37000</v>
      </c>
      <c r="H39" s="105">
        <f>IF(OR(A39="",D39=""),"",IF(D39="Sin estampar",0,IF(D39="Pecho",VLOOKUP(A39,'Cotizador Compras'!$A$5:$J$21,4,FALSE),IF(D39="Espalda",VLOOKUP(A39,'Cotizador Compras'!$A$5:$J$21,5,FALSE),VLOOKUP(A39,'Cotizador Compras'!$A$5:$J$21,4,FALSE)+VLOOKUP(A39,'Cotizador Compras'!$A$5:$J$21,5,FALSE)))))</f>
        <v>0</v>
      </c>
      <c r="I39" s="105">
        <f>IF(A39="","",VLOOKUP(A39,'Cotizador Compras'!$A$5:$J$21,6,FALSE))</f>
        <v>1700</v>
      </c>
      <c r="J39" s="105">
        <f>IF(A39="","",VLOOKUP(A39,'Cotizador Compras'!$A$5:$J$21,7,FALSE))</f>
        <v>1000</v>
      </c>
      <c r="K39" s="137">
        <f t="shared" si="1"/>
        <v>79400</v>
      </c>
      <c r="L39" s="105">
        <f>IF(A39="","",IF(D39="Sin estampar",VLOOKUP(A39,'Cotizador Compras'!$A$5:$J$21,8,FALSE),IF(D39="Pecho",VLOOKUP(A39,'Cotizador Compras'!$A$5:$J$21,10,FALSE),VLOOKUP(A39,'Cotizador Compras'!$A$5:$J$21,9,FALSE))))</f>
        <v>75000</v>
      </c>
      <c r="M39" s="138">
        <f t="shared" si="2"/>
        <v>150000</v>
      </c>
      <c r="N39" s="105">
        <f t="shared" si="3"/>
        <v>39700</v>
      </c>
      <c r="O39" s="139">
        <f t="shared" si="4"/>
        <v>0.4706666667</v>
      </c>
      <c r="P39" s="140" t="str">
        <f t="shared" si="5"/>
        <v>Camisa Oversize Peruana M Beige</v>
      </c>
      <c r="Q39" s="145" t="s">
        <v>220</v>
      </c>
      <c r="R39" s="142">
        <f t="shared" si="6"/>
        <v>4</v>
      </c>
      <c r="T39" s="143">
        <f t="shared" si="7"/>
        <v>74000</v>
      </c>
      <c r="W39" s="144"/>
      <c r="X39" s="105">
        <f t="shared" si="8"/>
        <v>216000</v>
      </c>
      <c r="Y39" s="139">
        <f t="shared" si="9"/>
        <v>0.4486111111</v>
      </c>
      <c r="Z39" s="144"/>
      <c r="AA39" s="105">
        <f t="shared" si="10"/>
        <v>420000</v>
      </c>
      <c r="AB39" s="139">
        <f t="shared" si="11"/>
        <v>0.4328571429</v>
      </c>
      <c r="AC39" s="144">
        <f t="shared" si="12"/>
        <v>136000</v>
      </c>
      <c r="AD39" s="105">
        <f t="shared" si="13"/>
        <v>816000</v>
      </c>
      <c r="AE39" s="139">
        <f t="shared" si="14"/>
        <v>0.4161764706</v>
      </c>
    </row>
    <row r="40" ht="14.25" customHeight="1">
      <c r="A40" s="132" t="s">
        <v>618</v>
      </c>
      <c r="B40" s="132" t="s">
        <v>623</v>
      </c>
      <c r="C40" s="132" t="s">
        <v>628</v>
      </c>
      <c r="D40" s="133" t="s">
        <v>617</v>
      </c>
      <c r="E40" s="146">
        <v>2.0</v>
      </c>
      <c r="F40" s="135" t="str">
        <f>IF(A40="","",VLOOKUP(A40,'Cotizador Compras'!$A$5:$J$21,2,FALSE))</f>
        <v>YOUR BRAND</v>
      </c>
      <c r="G40" s="136">
        <f>IF(A40="","",VLOOKUP(A40,'Cotizador Compras'!$A$5:$J$21,3,FALSE))</f>
        <v>37000</v>
      </c>
      <c r="H40" s="105">
        <f>IF(OR(A40="",D40=""),"",IF(D40="Sin estampar",0,IF(D40="Pecho",VLOOKUP(A40,'Cotizador Compras'!$A$5:$J$21,4,FALSE),IF(D40="Espalda",VLOOKUP(A40,'Cotizador Compras'!$A$5:$J$21,5,FALSE),VLOOKUP(A40,'Cotizador Compras'!$A$5:$J$21,4,FALSE)+VLOOKUP(A40,'Cotizador Compras'!$A$5:$J$21,5,FALSE)))))</f>
        <v>0</v>
      </c>
      <c r="I40" s="105">
        <f>IF(A40="","",VLOOKUP(A40,'Cotizador Compras'!$A$5:$J$21,6,FALSE))</f>
        <v>1700</v>
      </c>
      <c r="J40" s="105">
        <f>IF(A40="","",VLOOKUP(A40,'Cotizador Compras'!$A$5:$J$21,7,FALSE))</f>
        <v>1000</v>
      </c>
      <c r="K40" s="137">
        <f t="shared" si="1"/>
        <v>79400</v>
      </c>
      <c r="L40" s="105">
        <f>IF(A40="","",IF(D40="Sin estampar",VLOOKUP(A40,'Cotizador Compras'!$A$5:$J$21,8,FALSE),IF(D40="Pecho",VLOOKUP(A40,'Cotizador Compras'!$A$5:$J$21,10,FALSE),VLOOKUP(A40,'Cotizador Compras'!$A$5:$J$21,9,FALSE))))</f>
        <v>75000</v>
      </c>
      <c r="M40" s="138">
        <f t="shared" si="2"/>
        <v>150000</v>
      </c>
      <c r="N40" s="105">
        <f t="shared" si="3"/>
        <v>39700</v>
      </c>
      <c r="O40" s="139">
        <f t="shared" si="4"/>
        <v>0.4706666667</v>
      </c>
      <c r="P40" s="140" t="str">
        <f t="shared" si="5"/>
        <v>Camisa Oversize Peruana L Beige</v>
      </c>
      <c r="Q40" s="145" t="s">
        <v>222</v>
      </c>
      <c r="R40" s="142">
        <f t="shared" si="6"/>
        <v>4</v>
      </c>
      <c r="T40" s="143">
        <f t="shared" si="7"/>
        <v>74000</v>
      </c>
      <c r="W40" s="144"/>
      <c r="X40" s="105">
        <f t="shared" si="8"/>
        <v>216000</v>
      </c>
      <c r="Y40" s="139">
        <f t="shared" si="9"/>
        <v>0.4486111111</v>
      </c>
      <c r="Z40" s="144"/>
      <c r="AA40" s="105">
        <f t="shared" si="10"/>
        <v>420000</v>
      </c>
      <c r="AB40" s="139">
        <f t="shared" si="11"/>
        <v>0.4328571429</v>
      </c>
      <c r="AC40" s="144">
        <f t="shared" si="12"/>
        <v>136000</v>
      </c>
      <c r="AD40" s="105">
        <f t="shared" si="13"/>
        <v>816000</v>
      </c>
      <c r="AE40" s="139">
        <f t="shared" si="14"/>
        <v>0.4161764706</v>
      </c>
    </row>
    <row r="41" ht="14.25" customHeight="1">
      <c r="A41" s="132" t="s">
        <v>618</v>
      </c>
      <c r="B41" s="132" t="s">
        <v>627</v>
      </c>
      <c r="C41" s="132" t="s">
        <v>628</v>
      </c>
      <c r="D41" s="133" t="s">
        <v>617</v>
      </c>
      <c r="E41" s="146">
        <v>2.0</v>
      </c>
      <c r="F41" s="135" t="str">
        <f>IF(A41="","",VLOOKUP(A41,'Cotizador Compras'!$A$5:$J$21,2,FALSE))</f>
        <v>YOUR BRAND</v>
      </c>
      <c r="G41" s="136">
        <f>IF(A41="","",VLOOKUP(A41,'Cotizador Compras'!$A$5:$J$21,3,FALSE))</f>
        <v>37000</v>
      </c>
      <c r="H41" s="105">
        <f>IF(OR(A41="",D41=""),"",IF(D41="Sin estampar",0,IF(D41="Pecho",VLOOKUP(A41,'Cotizador Compras'!$A$5:$J$21,4,FALSE),IF(D41="Espalda",VLOOKUP(A41,'Cotizador Compras'!$A$5:$J$21,5,FALSE),VLOOKUP(A41,'Cotizador Compras'!$A$5:$J$21,4,FALSE)+VLOOKUP(A41,'Cotizador Compras'!$A$5:$J$21,5,FALSE)))))</f>
        <v>0</v>
      </c>
      <c r="I41" s="105">
        <f>IF(A41="","",VLOOKUP(A41,'Cotizador Compras'!$A$5:$J$21,6,FALSE))</f>
        <v>1700</v>
      </c>
      <c r="J41" s="105">
        <f>IF(A41="","",VLOOKUP(A41,'Cotizador Compras'!$A$5:$J$21,7,FALSE))</f>
        <v>1000</v>
      </c>
      <c r="K41" s="137">
        <f t="shared" si="1"/>
        <v>79400</v>
      </c>
      <c r="L41" s="105">
        <f>IF(A41="","",IF(D41="Sin estampar",VLOOKUP(A41,'Cotizador Compras'!$A$5:$J$21,8,FALSE),IF(D41="Pecho",VLOOKUP(A41,'Cotizador Compras'!$A$5:$J$21,10,FALSE),VLOOKUP(A41,'Cotizador Compras'!$A$5:$J$21,9,FALSE))))</f>
        <v>75000</v>
      </c>
      <c r="M41" s="138">
        <f t="shared" si="2"/>
        <v>150000</v>
      </c>
      <c r="N41" s="105">
        <f t="shared" si="3"/>
        <v>39700</v>
      </c>
      <c r="O41" s="139">
        <f t="shared" si="4"/>
        <v>0.4706666667</v>
      </c>
      <c r="P41" s="140" t="str">
        <f t="shared" si="5"/>
        <v>Camisa Oversize Peruana XL Beige</v>
      </c>
      <c r="Q41" s="145" t="s">
        <v>224</v>
      </c>
      <c r="R41" s="142">
        <f t="shared" si="6"/>
        <v>4</v>
      </c>
      <c r="T41" s="143">
        <f t="shared" si="7"/>
        <v>74000</v>
      </c>
      <c r="W41" s="144"/>
      <c r="X41" s="105">
        <f t="shared" si="8"/>
        <v>216000</v>
      </c>
      <c r="Y41" s="139">
        <f t="shared" si="9"/>
        <v>0.4486111111</v>
      </c>
      <c r="Z41" s="144"/>
      <c r="AA41" s="105">
        <f t="shared" si="10"/>
        <v>420000</v>
      </c>
      <c r="AB41" s="139">
        <f t="shared" si="11"/>
        <v>0.4328571429</v>
      </c>
      <c r="AC41" s="144">
        <f t="shared" si="12"/>
        <v>136000</v>
      </c>
      <c r="AD41" s="105">
        <f t="shared" si="13"/>
        <v>816000</v>
      </c>
      <c r="AE41" s="139">
        <f t="shared" si="14"/>
        <v>0.4161764706</v>
      </c>
    </row>
    <row r="42" ht="14.25" customHeight="1">
      <c r="A42" s="133" t="s">
        <v>618</v>
      </c>
      <c r="B42" s="132" t="s">
        <v>615</v>
      </c>
      <c r="C42" s="132" t="s">
        <v>624</v>
      </c>
      <c r="D42" s="133" t="s">
        <v>617</v>
      </c>
      <c r="E42" s="134">
        <v>1.0</v>
      </c>
      <c r="F42" s="135" t="str">
        <f>IF(A42="","",VLOOKUP(A42,'Cotizador Compras'!$A$5:$J$21,2,FALSE))</f>
        <v>YOUR BRAND</v>
      </c>
      <c r="G42" s="136">
        <f>IF(A42="","",VLOOKUP(A42,'Cotizador Compras'!$A$5:$J$21,3,FALSE))</f>
        <v>37000</v>
      </c>
      <c r="H42" s="105">
        <f>IF(OR(A42="",D42=""),"",IF(D42="Sin estampar",0,IF(D42="Pecho",VLOOKUP(A42,'Cotizador Compras'!$A$5:$J$21,4,FALSE),IF(D42="Espalda",VLOOKUP(A42,'Cotizador Compras'!$A$5:$J$21,5,FALSE),VLOOKUP(A42,'Cotizador Compras'!$A$5:$J$21,4,FALSE)+VLOOKUP(A42,'Cotizador Compras'!$A$5:$J$21,5,FALSE)))))</f>
        <v>0</v>
      </c>
      <c r="I42" s="105">
        <f>IF(A42="","",VLOOKUP(A42,'Cotizador Compras'!$A$5:$J$21,6,FALSE))</f>
        <v>1700</v>
      </c>
      <c r="J42" s="105">
        <f>IF(A42="","",VLOOKUP(A42,'Cotizador Compras'!$A$5:$J$21,7,FALSE))</f>
        <v>1000</v>
      </c>
      <c r="K42" s="137">
        <f t="shared" si="1"/>
        <v>39700</v>
      </c>
      <c r="L42" s="105">
        <f>IF(A42="","",IF(D42="Sin estampar",VLOOKUP(A42,'Cotizador Compras'!$A$5:$J$21,8,FALSE),IF(D42="Pecho",VLOOKUP(A42,'Cotizador Compras'!$A$5:$J$21,10,FALSE),VLOOKUP(A42,'Cotizador Compras'!$A$5:$J$21,9,FALSE))))</f>
        <v>75000</v>
      </c>
      <c r="M42" s="138">
        <f t="shared" si="2"/>
        <v>75000</v>
      </c>
      <c r="N42" s="105">
        <f t="shared" si="3"/>
        <v>39700</v>
      </c>
      <c r="O42" s="139">
        <f t="shared" si="4"/>
        <v>0.4706666667</v>
      </c>
      <c r="P42" s="140" t="str">
        <f t="shared" si="5"/>
        <v>Camisa Oversize Peruana S Plomo Plata</v>
      </c>
      <c r="Q42" s="145" t="s">
        <v>226</v>
      </c>
      <c r="R42" s="142">
        <f t="shared" si="6"/>
        <v>2</v>
      </c>
      <c r="S42" s="5"/>
      <c r="T42" s="143">
        <f t="shared" si="7"/>
        <v>37000</v>
      </c>
      <c r="W42" s="144"/>
      <c r="X42" s="105">
        <f t="shared" si="8"/>
        <v>216000</v>
      </c>
      <c r="Y42" s="139">
        <f t="shared" si="9"/>
        <v>0.4486111111</v>
      </c>
      <c r="Z42" s="144"/>
      <c r="AA42" s="105">
        <f t="shared" si="10"/>
        <v>420000</v>
      </c>
      <c r="AB42" s="139">
        <f t="shared" si="11"/>
        <v>0.4328571429</v>
      </c>
      <c r="AC42" s="144">
        <f t="shared" si="12"/>
        <v>68000</v>
      </c>
      <c r="AD42" s="105">
        <f t="shared" si="13"/>
        <v>816000</v>
      </c>
      <c r="AE42" s="139">
        <f t="shared" si="14"/>
        <v>0.4161764706</v>
      </c>
    </row>
    <row r="43" ht="14.25" customHeight="1">
      <c r="A43" s="133" t="s">
        <v>618</v>
      </c>
      <c r="B43" s="132" t="s">
        <v>619</v>
      </c>
      <c r="C43" s="132" t="s">
        <v>624</v>
      </c>
      <c r="D43" s="133" t="s">
        <v>617</v>
      </c>
      <c r="E43" s="134">
        <v>2.0</v>
      </c>
      <c r="F43" s="135" t="str">
        <f>IF(A43="","",VLOOKUP(A43,'Cotizador Compras'!$A$5:$J$21,2,FALSE))</f>
        <v>YOUR BRAND</v>
      </c>
      <c r="G43" s="136">
        <f>IF(A43="","",VLOOKUP(A43,'Cotizador Compras'!$A$5:$J$21,3,FALSE))</f>
        <v>37000</v>
      </c>
      <c r="H43" s="105">
        <f>IF(OR(A43="",D43=""),"",IF(D43="Sin estampar",0,IF(D43="Pecho",VLOOKUP(A43,'Cotizador Compras'!$A$5:$J$21,4,FALSE),IF(D43="Espalda",VLOOKUP(A43,'Cotizador Compras'!$A$5:$J$21,5,FALSE),VLOOKUP(A43,'Cotizador Compras'!$A$5:$J$21,4,FALSE)+VLOOKUP(A43,'Cotizador Compras'!$A$5:$J$21,5,FALSE)))))</f>
        <v>0</v>
      </c>
      <c r="I43" s="105">
        <f>IF(A43="","",VLOOKUP(A43,'Cotizador Compras'!$A$5:$J$21,6,FALSE))</f>
        <v>1700</v>
      </c>
      <c r="J43" s="105">
        <f>IF(A43="","",VLOOKUP(A43,'Cotizador Compras'!$A$5:$J$21,7,FALSE))</f>
        <v>1000</v>
      </c>
      <c r="K43" s="137">
        <f t="shared" si="1"/>
        <v>79400</v>
      </c>
      <c r="L43" s="105">
        <f>IF(A43="","",IF(D43="Sin estampar",VLOOKUP(A43,'Cotizador Compras'!$A$5:$J$21,8,FALSE),IF(D43="Pecho",VLOOKUP(A43,'Cotizador Compras'!$A$5:$J$21,10,FALSE),VLOOKUP(A43,'Cotizador Compras'!$A$5:$J$21,9,FALSE))))</f>
        <v>75000</v>
      </c>
      <c r="M43" s="138">
        <f t="shared" si="2"/>
        <v>150000</v>
      </c>
      <c r="N43" s="105">
        <f t="shared" si="3"/>
        <v>39700</v>
      </c>
      <c r="O43" s="139">
        <f t="shared" si="4"/>
        <v>0.4706666667</v>
      </c>
      <c r="P43" s="140" t="str">
        <f t="shared" si="5"/>
        <v>Camisa Oversize Peruana M Plomo Plata</v>
      </c>
      <c r="Q43" s="145" t="s">
        <v>228</v>
      </c>
      <c r="R43" s="142">
        <f t="shared" si="6"/>
        <v>4</v>
      </c>
      <c r="S43" s="5"/>
      <c r="T43" s="143">
        <f t="shared" si="7"/>
        <v>74000</v>
      </c>
      <c r="W43" s="144"/>
      <c r="X43" s="105">
        <f t="shared" si="8"/>
        <v>216000</v>
      </c>
      <c r="Y43" s="139">
        <f t="shared" si="9"/>
        <v>0.4486111111</v>
      </c>
      <c r="Z43" s="144"/>
      <c r="AA43" s="105">
        <f t="shared" si="10"/>
        <v>420000</v>
      </c>
      <c r="AB43" s="139">
        <f t="shared" si="11"/>
        <v>0.4328571429</v>
      </c>
      <c r="AC43" s="144">
        <f t="shared" si="12"/>
        <v>136000</v>
      </c>
      <c r="AD43" s="105">
        <f t="shared" si="13"/>
        <v>816000</v>
      </c>
      <c r="AE43" s="139">
        <f t="shared" si="14"/>
        <v>0.4161764706</v>
      </c>
    </row>
    <row r="44" ht="14.25" customHeight="1">
      <c r="A44" s="133" t="s">
        <v>618</v>
      </c>
      <c r="B44" s="132" t="s">
        <v>623</v>
      </c>
      <c r="C44" s="132" t="s">
        <v>624</v>
      </c>
      <c r="D44" s="133" t="s">
        <v>617</v>
      </c>
      <c r="E44" s="134">
        <v>2.0</v>
      </c>
      <c r="F44" s="135" t="str">
        <f>IF(A44="","",VLOOKUP(A44,'Cotizador Compras'!$A$5:$J$21,2,FALSE))</f>
        <v>YOUR BRAND</v>
      </c>
      <c r="G44" s="136">
        <f>IF(A44="","",VLOOKUP(A44,'Cotizador Compras'!$A$5:$J$21,3,FALSE))</f>
        <v>37000</v>
      </c>
      <c r="H44" s="105">
        <f>IF(OR(A44="",D44=""),"",IF(D44="Sin estampar",0,IF(D44="Pecho",VLOOKUP(A44,'Cotizador Compras'!$A$5:$J$21,4,FALSE),IF(D44="Espalda",VLOOKUP(A44,'Cotizador Compras'!$A$5:$J$21,5,FALSE),VLOOKUP(A44,'Cotizador Compras'!$A$5:$J$21,4,FALSE)+VLOOKUP(A44,'Cotizador Compras'!$A$5:$J$21,5,FALSE)))))</f>
        <v>0</v>
      </c>
      <c r="I44" s="105">
        <f>IF(A44="","",VLOOKUP(A44,'Cotizador Compras'!$A$5:$J$21,6,FALSE))</f>
        <v>1700</v>
      </c>
      <c r="J44" s="105">
        <f>IF(A44="","",VLOOKUP(A44,'Cotizador Compras'!$A$5:$J$21,7,FALSE))</f>
        <v>1000</v>
      </c>
      <c r="K44" s="137">
        <f t="shared" si="1"/>
        <v>79400</v>
      </c>
      <c r="L44" s="105">
        <f>IF(A44="","",IF(D44="Sin estampar",VLOOKUP(A44,'Cotizador Compras'!$A$5:$J$21,8,FALSE),IF(D44="Pecho",VLOOKUP(A44,'Cotizador Compras'!$A$5:$J$21,10,FALSE),VLOOKUP(A44,'Cotizador Compras'!$A$5:$J$21,9,FALSE))))</f>
        <v>75000</v>
      </c>
      <c r="M44" s="138">
        <f t="shared" si="2"/>
        <v>150000</v>
      </c>
      <c r="N44" s="105">
        <f t="shared" si="3"/>
        <v>39700</v>
      </c>
      <c r="O44" s="139">
        <f t="shared" si="4"/>
        <v>0.4706666667</v>
      </c>
      <c r="P44" s="140" t="str">
        <f t="shared" si="5"/>
        <v>Camisa Oversize Peruana L Plomo Plata</v>
      </c>
      <c r="Q44" s="145" t="s">
        <v>230</v>
      </c>
      <c r="R44" s="142">
        <f t="shared" si="6"/>
        <v>4</v>
      </c>
      <c r="S44" s="5"/>
      <c r="T44" s="143">
        <f t="shared" si="7"/>
        <v>74000</v>
      </c>
      <c r="W44" s="144"/>
      <c r="X44" s="105">
        <f t="shared" si="8"/>
        <v>216000</v>
      </c>
      <c r="Y44" s="139">
        <f t="shared" si="9"/>
        <v>0.4486111111</v>
      </c>
      <c r="Z44" s="144"/>
      <c r="AA44" s="105">
        <f t="shared" si="10"/>
        <v>420000</v>
      </c>
      <c r="AB44" s="139">
        <f t="shared" si="11"/>
        <v>0.4328571429</v>
      </c>
      <c r="AC44" s="144">
        <f t="shared" si="12"/>
        <v>136000</v>
      </c>
      <c r="AD44" s="105">
        <f t="shared" si="13"/>
        <v>816000</v>
      </c>
      <c r="AE44" s="139">
        <f t="shared" si="14"/>
        <v>0.4161764706</v>
      </c>
    </row>
    <row r="45" ht="14.25" customHeight="1">
      <c r="A45" s="133" t="s">
        <v>618</v>
      </c>
      <c r="B45" s="132" t="s">
        <v>627</v>
      </c>
      <c r="C45" s="132" t="s">
        <v>624</v>
      </c>
      <c r="D45" s="133" t="s">
        <v>617</v>
      </c>
      <c r="E45" s="146">
        <v>2.0</v>
      </c>
      <c r="F45" s="135" t="str">
        <f>IF(A45="","",VLOOKUP(A45,'Cotizador Compras'!$A$5:$J$21,2,FALSE))</f>
        <v>YOUR BRAND</v>
      </c>
      <c r="G45" s="136">
        <f>IF(A45="","",VLOOKUP(A45,'Cotizador Compras'!$A$5:$J$21,3,FALSE))</f>
        <v>37000</v>
      </c>
      <c r="H45" s="105">
        <f>IF(OR(A45="",D45=""),"",IF(D45="Sin estampar",0,IF(D45="Pecho",VLOOKUP(A45,'Cotizador Compras'!$A$5:$J$21,4,FALSE),IF(D45="Espalda",VLOOKUP(A45,'Cotizador Compras'!$A$5:$J$21,5,FALSE),VLOOKUP(A45,'Cotizador Compras'!$A$5:$J$21,4,FALSE)+VLOOKUP(A45,'Cotizador Compras'!$A$5:$J$21,5,FALSE)))))</f>
        <v>0</v>
      </c>
      <c r="I45" s="105">
        <f>IF(A45="","",VLOOKUP(A45,'Cotizador Compras'!$A$5:$J$21,6,FALSE))</f>
        <v>1700</v>
      </c>
      <c r="J45" s="105">
        <f>IF(A45="","",VLOOKUP(A45,'Cotizador Compras'!$A$5:$J$21,7,FALSE))</f>
        <v>1000</v>
      </c>
      <c r="K45" s="137">
        <f t="shared" si="1"/>
        <v>79400</v>
      </c>
      <c r="L45" s="105">
        <f>IF(A45="","",IF(D45="Sin estampar",VLOOKUP(A45,'Cotizador Compras'!$A$5:$J$21,8,FALSE),IF(D45="Pecho",VLOOKUP(A45,'Cotizador Compras'!$A$5:$J$21,10,FALSE),VLOOKUP(A45,'Cotizador Compras'!$A$5:$J$21,9,FALSE))))</f>
        <v>75000</v>
      </c>
      <c r="M45" s="138">
        <f t="shared" si="2"/>
        <v>150000</v>
      </c>
      <c r="N45" s="105">
        <f t="shared" si="3"/>
        <v>39700</v>
      </c>
      <c r="O45" s="139">
        <f t="shared" si="4"/>
        <v>0.4706666667</v>
      </c>
      <c r="P45" s="140" t="str">
        <f t="shared" si="5"/>
        <v>Camisa Oversize Peruana XL Plomo Plata</v>
      </c>
      <c r="Q45" s="145" t="s">
        <v>232</v>
      </c>
      <c r="R45" s="142">
        <f t="shared" si="6"/>
        <v>4</v>
      </c>
      <c r="S45" s="5"/>
      <c r="T45" s="143">
        <f t="shared" si="7"/>
        <v>74000</v>
      </c>
      <c r="W45" s="144"/>
      <c r="X45" s="105">
        <f t="shared" si="8"/>
        <v>216000</v>
      </c>
      <c r="Y45" s="139">
        <f t="shared" si="9"/>
        <v>0.4486111111</v>
      </c>
      <c r="Z45" s="144"/>
      <c r="AA45" s="105">
        <f t="shared" si="10"/>
        <v>420000</v>
      </c>
      <c r="AB45" s="139">
        <f t="shared" si="11"/>
        <v>0.4328571429</v>
      </c>
      <c r="AC45" s="144">
        <f t="shared" si="12"/>
        <v>136000</v>
      </c>
      <c r="AD45" s="105">
        <f t="shared" si="13"/>
        <v>816000</v>
      </c>
      <c r="AE45" s="139">
        <f t="shared" si="14"/>
        <v>0.4161764706</v>
      </c>
    </row>
    <row r="46" ht="14.25" customHeight="1">
      <c r="A46" s="133" t="s">
        <v>618</v>
      </c>
      <c r="B46" s="132" t="s">
        <v>615</v>
      </c>
      <c r="C46" s="132" t="s">
        <v>624</v>
      </c>
      <c r="D46" s="133" t="s">
        <v>621</v>
      </c>
      <c r="E46" s="134">
        <v>1.0</v>
      </c>
      <c r="F46" s="135" t="str">
        <f>IF(A46="","",VLOOKUP(A46,'Cotizador Compras'!$A$5:$J$21,2,FALSE))</f>
        <v>YOUR BRAND</v>
      </c>
      <c r="G46" s="136">
        <f>IF(A46="","",VLOOKUP(A46,'Cotizador Compras'!$A$5:$J$21,3,FALSE))</f>
        <v>37000</v>
      </c>
      <c r="H46" s="105">
        <f>IF(OR(A46="",D46=""),"",IF(D46="Sin estampar",0,IF(D46="Pecho",VLOOKUP(A46,'Cotizador Compras'!$A$5:$J$21,4,FALSE),IF(D46="Espalda",VLOOKUP(A46,'Cotizador Compras'!$A$5:$J$21,5,FALSE),VLOOKUP(A46,'Cotizador Compras'!$A$5:$J$21,4,FALSE)+VLOOKUP(A46,'Cotizador Compras'!$A$5:$J$21,5,FALSE)))))</f>
        <v>3500</v>
      </c>
      <c r="I46" s="105">
        <f>IF(A46="","",VLOOKUP(A46,'Cotizador Compras'!$A$5:$J$21,6,FALSE))</f>
        <v>1700</v>
      </c>
      <c r="J46" s="105">
        <f>IF(A46="","",VLOOKUP(A46,'Cotizador Compras'!$A$5:$J$21,7,FALSE))</f>
        <v>1000</v>
      </c>
      <c r="K46" s="137">
        <f t="shared" si="1"/>
        <v>43200</v>
      </c>
      <c r="L46" s="105">
        <f>IF(A46="","",IF(D46="Sin estampar",VLOOKUP(A46,'Cotizador Compras'!$A$5:$J$21,8,FALSE),IF(D46="Pecho",VLOOKUP(A46,'Cotizador Compras'!$A$5:$J$21,10,FALSE),VLOOKUP(A46,'Cotizador Compras'!$A$5:$J$21,9,FALSE))))</f>
        <v>100000</v>
      </c>
      <c r="M46" s="138">
        <f t="shared" si="2"/>
        <v>100000</v>
      </c>
      <c r="N46" s="105">
        <f t="shared" si="3"/>
        <v>43200</v>
      </c>
      <c r="O46" s="139">
        <f t="shared" si="4"/>
        <v>0.568</v>
      </c>
      <c r="P46" s="140" t="str">
        <f t="shared" si="5"/>
        <v>Camisa Oversize Peruana S Plomo Plata</v>
      </c>
      <c r="Q46" s="145" t="s">
        <v>234</v>
      </c>
      <c r="R46" s="142">
        <f t="shared" si="6"/>
        <v>2</v>
      </c>
      <c r="S46" s="5"/>
      <c r="T46" s="143">
        <f t="shared" si="7"/>
        <v>37000</v>
      </c>
      <c r="W46" s="144"/>
      <c r="X46" s="105">
        <f t="shared" si="8"/>
        <v>285000</v>
      </c>
      <c r="Y46" s="139">
        <f t="shared" si="9"/>
        <v>0.5452631579</v>
      </c>
      <c r="Z46" s="144"/>
      <c r="AA46" s="105">
        <f t="shared" si="10"/>
        <v>558000</v>
      </c>
      <c r="AB46" s="139">
        <f t="shared" si="11"/>
        <v>0.535483871</v>
      </c>
      <c r="AC46" s="144">
        <f t="shared" si="12"/>
        <v>90000</v>
      </c>
      <c r="AD46" s="105">
        <f t="shared" si="13"/>
        <v>1080000</v>
      </c>
      <c r="AE46" s="139">
        <f t="shared" si="14"/>
        <v>0.52</v>
      </c>
    </row>
    <row r="47" ht="14.25" customHeight="1">
      <c r="A47" s="133" t="s">
        <v>618</v>
      </c>
      <c r="B47" s="132" t="s">
        <v>619</v>
      </c>
      <c r="C47" s="132" t="s">
        <v>624</v>
      </c>
      <c r="D47" s="133" t="s">
        <v>621</v>
      </c>
      <c r="E47" s="134">
        <v>2.0</v>
      </c>
      <c r="F47" s="135" t="str">
        <f>IF(A47="","",VLOOKUP(A47,'Cotizador Compras'!$A$5:$J$21,2,FALSE))</f>
        <v>YOUR BRAND</v>
      </c>
      <c r="G47" s="136">
        <f>IF(A47="","",VLOOKUP(A47,'Cotizador Compras'!$A$5:$J$21,3,FALSE))</f>
        <v>37000</v>
      </c>
      <c r="H47" s="105">
        <f>IF(OR(A47="",D47=""),"",IF(D47="Sin estampar",0,IF(D47="Pecho",VLOOKUP(A47,'Cotizador Compras'!$A$5:$J$21,4,FALSE),IF(D47="Espalda",VLOOKUP(A47,'Cotizador Compras'!$A$5:$J$21,5,FALSE),VLOOKUP(A47,'Cotizador Compras'!$A$5:$J$21,4,FALSE)+VLOOKUP(A47,'Cotizador Compras'!$A$5:$J$21,5,FALSE)))))</f>
        <v>3500</v>
      </c>
      <c r="I47" s="105">
        <f>IF(A47="","",VLOOKUP(A47,'Cotizador Compras'!$A$5:$J$21,6,FALSE))</f>
        <v>1700</v>
      </c>
      <c r="J47" s="105">
        <f>IF(A47="","",VLOOKUP(A47,'Cotizador Compras'!$A$5:$J$21,7,FALSE))</f>
        <v>1000</v>
      </c>
      <c r="K47" s="137">
        <f t="shared" si="1"/>
        <v>86400</v>
      </c>
      <c r="L47" s="105">
        <f>IF(A47="","",IF(D47="Sin estampar",VLOOKUP(A47,'Cotizador Compras'!$A$5:$J$21,8,FALSE),IF(D47="Pecho",VLOOKUP(A47,'Cotizador Compras'!$A$5:$J$21,10,FALSE),VLOOKUP(A47,'Cotizador Compras'!$A$5:$J$21,9,FALSE))))</f>
        <v>100000</v>
      </c>
      <c r="M47" s="138">
        <f t="shared" si="2"/>
        <v>200000</v>
      </c>
      <c r="N47" s="105">
        <f t="shared" si="3"/>
        <v>43200</v>
      </c>
      <c r="O47" s="139">
        <f t="shared" si="4"/>
        <v>0.568</v>
      </c>
      <c r="P47" s="140" t="str">
        <f t="shared" si="5"/>
        <v>Camisa Oversize Peruana M Plomo Plata</v>
      </c>
      <c r="Q47" s="145" t="s">
        <v>236</v>
      </c>
      <c r="R47" s="142">
        <f t="shared" si="6"/>
        <v>4</v>
      </c>
      <c r="S47" s="5"/>
      <c r="T47" s="143">
        <f t="shared" si="7"/>
        <v>74000</v>
      </c>
      <c r="W47" s="144"/>
      <c r="X47" s="105">
        <f t="shared" si="8"/>
        <v>285000</v>
      </c>
      <c r="Y47" s="139">
        <f t="shared" si="9"/>
        <v>0.5452631579</v>
      </c>
      <c r="Z47" s="144"/>
      <c r="AA47" s="105">
        <f t="shared" si="10"/>
        <v>558000</v>
      </c>
      <c r="AB47" s="139">
        <f t="shared" si="11"/>
        <v>0.535483871</v>
      </c>
      <c r="AC47" s="144">
        <f t="shared" si="12"/>
        <v>180000</v>
      </c>
      <c r="AD47" s="105">
        <f t="shared" si="13"/>
        <v>1080000</v>
      </c>
      <c r="AE47" s="139">
        <f t="shared" si="14"/>
        <v>0.52</v>
      </c>
    </row>
    <row r="48" ht="14.25" customHeight="1">
      <c r="A48" s="133" t="s">
        <v>618</v>
      </c>
      <c r="B48" s="132" t="s">
        <v>623</v>
      </c>
      <c r="C48" s="132" t="s">
        <v>624</v>
      </c>
      <c r="D48" s="133" t="s">
        <v>621</v>
      </c>
      <c r="E48" s="134">
        <v>2.0</v>
      </c>
      <c r="F48" s="135" t="str">
        <f>IF(A48="","",VLOOKUP(A48,'Cotizador Compras'!$A$5:$J$21,2,FALSE))</f>
        <v>YOUR BRAND</v>
      </c>
      <c r="G48" s="136">
        <f>IF(A48="","",VLOOKUP(A48,'Cotizador Compras'!$A$5:$J$21,3,FALSE))</f>
        <v>37000</v>
      </c>
      <c r="H48" s="105">
        <f>IF(OR(A48="",D48=""),"",IF(D48="Sin estampar",0,IF(D48="Pecho",VLOOKUP(A48,'Cotizador Compras'!$A$5:$J$21,4,FALSE),IF(D48="Espalda",VLOOKUP(A48,'Cotizador Compras'!$A$5:$J$21,5,FALSE),VLOOKUP(A48,'Cotizador Compras'!$A$5:$J$21,4,FALSE)+VLOOKUP(A48,'Cotizador Compras'!$A$5:$J$21,5,FALSE)))))</f>
        <v>3500</v>
      </c>
      <c r="I48" s="105">
        <f>IF(A48="","",VLOOKUP(A48,'Cotizador Compras'!$A$5:$J$21,6,FALSE))</f>
        <v>1700</v>
      </c>
      <c r="J48" s="105">
        <f>IF(A48="","",VLOOKUP(A48,'Cotizador Compras'!$A$5:$J$21,7,FALSE))</f>
        <v>1000</v>
      </c>
      <c r="K48" s="137">
        <f t="shared" si="1"/>
        <v>86400</v>
      </c>
      <c r="L48" s="105">
        <f>IF(A48="","",IF(D48="Sin estampar",VLOOKUP(A48,'Cotizador Compras'!$A$5:$J$21,8,FALSE),IF(D48="Pecho",VLOOKUP(A48,'Cotizador Compras'!$A$5:$J$21,10,FALSE),VLOOKUP(A48,'Cotizador Compras'!$A$5:$J$21,9,FALSE))))</f>
        <v>100000</v>
      </c>
      <c r="M48" s="138">
        <f t="shared" si="2"/>
        <v>200000</v>
      </c>
      <c r="N48" s="105">
        <f t="shared" si="3"/>
        <v>43200</v>
      </c>
      <c r="O48" s="139">
        <f t="shared" si="4"/>
        <v>0.568</v>
      </c>
      <c r="P48" s="140" t="str">
        <f t="shared" si="5"/>
        <v>Camisa Oversize Peruana L Plomo Plata</v>
      </c>
      <c r="Q48" s="145" t="s">
        <v>238</v>
      </c>
      <c r="R48" s="142">
        <f t="shared" si="6"/>
        <v>4</v>
      </c>
      <c r="S48" s="5"/>
      <c r="T48" s="143">
        <f t="shared" si="7"/>
        <v>74000</v>
      </c>
      <c r="W48" s="144"/>
      <c r="X48" s="105">
        <f t="shared" si="8"/>
        <v>285000</v>
      </c>
      <c r="Y48" s="139">
        <f t="shared" si="9"/>
        <v>0.5452631579</v>
      </c>
      <c r="Z48" s="144"/>
      <c r="AA48" s="105">
        <f t="shared" si="10"/>
        <v>558000</v>
      </c>
      <c r="AB48" s="139">
        <f t="shared" si="11"/>
        <v>0.535483871</v>
      </c>
      <c r="AC48" s="144">
        <f t="shared" si="12"/>
        <v>180000</v>
      </c>
      <c r="AD48" s="105">
        <f t="shared" si="13"/>
        <v>1080000</v>
      </c>
      <c r="AE48" s="139">
        <f t="shared" si="14"/>
        <v>0.52</v>
      </c>
    </row>
    <row r="49" ht="14.25" customHeight="1">
      <c r="A49" s="133" t="s">
        <v>618</v>
      </c>
      <c r="B49" s="132" t="s">
        <v>627</v>
      </c>
      <c r="C49" s="132" t="s">
        <v>624</v>
      </c>
      <c r="D49" s="133" t="s">
        <v>621</v>
      </c>
      <c r="E49" s="146">
        <v>2.0</v>
      </c>
      <c r="F49" s="135" t="str">
        <f>IF(A49="","",VLOOKUP(A49,'Cotizador Compras'!$A$5:$J$21,2,FALSE))</f>
        <v>YOUR BRAND</v>
      </c>
      <c r="G49" s="136">
        <f>IF(A49="","",VLOOKUP(A49,'Cotizador Compras'!$A$5:$J$21,3,FALSE))</f>
        <v>37000</v>
      </c>
      <c r="H49" s="105">
        <f>IF(OR(A49="",D49=""),"",IF(D49="Sin estampar",0,IF(D49="Pecho",VLOOKUP(A49,'Cotizador Compras'!$A$5:$J$21,4,FALSE),IF(D49="Espalda",VLOOKUP(A49,'Cotizador Compras'!$A$5:$J$21,5,FALSE),VLOOKUP(A49,'Cotizador Compras'!$A$5:$J$21,4,FALSE)+VLOOKUP(A49,'Cotizador Compras'!$A$5:$J$21,5,FALSE)))))</f>
        <v>3500</v>
      </c>
      <c r="I49" s="105">
        <f>IF(A49="","",VLOOKUP(A49,'Cotizador Compras'!$A$5:$J$21,6,FALSE))</f>
        <v>1700</v>
      </c>
      <c r="J49" s="105">
        <f>IF(A49="","",VLOOKUP(A49,'Cotizador Compras'!$A$5:$J$21,7,FALSE))</f>
        <v>1000</v>
      </c>
      <c r="K49" s="137">
        <f t="shared" si="1"/>
        <v>86400</v>
      </c>
      <c r="L49" s="105">
        <f>IF(A49="","",IF(D49="Sin estampar",VLOOKUP(A49,'Cotizador Compras'!$A$5:$J$21,8,FALSE),IF(D49="Pecho",VLOOKUP(A49,'Cotizador Compras'!$A$5:$J$21,10,FALSE),VLOOKUP(A49,'Cotizador Compras'!$A$5:$J$21,9,FALSE))))</f>
        <v>100000</v>
      </c>
      <c r="M49" s="138">
        <f t="shared" si="2"/>
        <v>200000</v>
      </c>
      <c r="N49" s="105">
        <f t="shared" si="3"/>
        <v>43200</v>
      </c>
      <c r="O49" s="139">
        <f t="shared" si="4"/>
        <v>0.568</v>
      </c>
      <c r="P49" s="140" t="str">
        <f t="shared" si="5"/>
        <v>Camisa Oversize Peruana XL Plomo Plata</v>
      </c>
      <c r="Q49" s="145" t="s">
        <v>240</v>
      </c>
      <c r="R49" s="142">
        <f t="shared" si="6"/>
        <v>4</v>
      </c>
      <c r="S49" s="5"/>
      <c r="T49" s="143">
        <f t="shared" si="7"/>
        <v>74000</v>
      </c>
      <c r="W49" s="144"/>
      <c r="X49" s="105">
        <f t="shared" si="8"/>
        <v>285000</v>
      </c>
      <c r="Y49" s="139">
        <f t="shared" si="9"/>
        <v>0.5452631579</v>
      </c>
      <c r="Z49" s="144"/>
      <c r="AA49" s="105">
        <f t="shared" si="10"/>
        <v>558000</v>
      </c>
      <c r="AB49" s="139">
        <f t="shared" si="11"/>
        <v>0.535483871</v>
      </c>
      <c r="AC49" s="144">
        <f t="shared" si="12"/>
        <v>180000</v>
      </c>
      <c r="AD49" s="105">
        <f t="shared" si="13"/>
        <v>1080000</v>
      </c>
      <c r="AE49" s="139">
        <f t="shared" si="14"/>
        <v>0.52</v>
      </c>
    </row>
    <row r="50" ht="14.25" customHeight="1">
      <c r="A50" s="133" t="s">
        <v>618</v>
      </c>
      <c r="B50" s="132" t="s">
        <v>615</v>
      </c>
      <c r="C50" s="132" t="s">
        <v>638</v>
      </c>
      <c r="D50" s="133" t="s">
        <v>617</v>
      </c>
      <c r="E50" s="134">
        <v>1.0</v>
      </c>
      <c r="F50" s="135" t="str">
        <f>IF(A50="","",VLOOKUP(A50,'Cotizador Compras'!$A$5:$J$21,2,FALSE))</f>
        <v>YOUR BRAND</v>
      </c>
      <c r="G50" s="136">
        <f>IF(A50="","",VLOOKUP(A50,'Cotizador Compras'!$A$5:$J$21,3,FALSE))</f>
        <v>37000</v>
      </c>
      <c r="H50" s="105">
        <f>IF(OR(A50="",D50=""),"",IF(D50="Sin estampar",0,IF(D50="Pecho",VLOOKUP(A50,'Cotizador Compras'!$A$5:$J$21,4,FALSE),IF(D50="Espalda",VLOOKUP(A50,'Cotizador Compras'!$A$5:$J$21,5,FALSE),VLOOKUP(A50,'Cotizador Compras'!$A$5:$J$21,4,FALSE)+VLOOKUP(A50,'Cotizador Compras'!$A$5:$J$21,5,FALSE)))))</f>
        <v>0</v>
      </c>
      <c r="I50" s="105">
        <f>IF(A50="","",VLOOKUP(A50,'Cotizador Compras'!$A$5:$J$21,6,FALSE))</f>
        <v>1700</v>
      </c>
      <c r="J50" s="105">
        <f>IF(A50="","",VLOOKUP(A50,'Cotizador Compras'!$A$5:$J$21,7,FALSE))</f>
        <v>1000</v>
      </c>
      <c r="K50" s="137">
        <f t="shared" si="1"/>
        <v>39700</v>
      </c>
      <c r="L50" s="105">
        <f>IF(A50="","",IF(D50="Sin estampar",VLOOKUP(A50,'Cotizador Compras'!$A$5:$J$21,8,FALSE),IF(D50="Pecho",VLOOKUP(A50,'Cotizador Compras'!$A$5:$J$21,10,FALSE),VLOOKUP(A50,'Cotizador Compras'!$A$5:$J$21,9,FALSE))))</f>
        <v>75000</v>
      </c>
      <c r="M50" s="138">
        <f t="shared" si="2"/>
        <v>75000</v>
      </c>
      <c r="N50" s="105">
        <f t="shared" si="3"/>
        <v>39700</v>
      </c>
      <c r="O50" s="139">
        <f t="shared" si="4"/>
        <v>0.4706666667</v>
      </c>
      <c r="P50" s="140" t="str">
        <f t="shared" si="5"/>
        <v>Camisa Oversize Peruana S Verde Botella</v>
      </c>
      <c r="Q50" s="145" t="s">
        <v>242</v>
      </c>
      <c r="R50" s="142">
        <f t="shared" si="6"/>
        <v>2</v>
      </c>
      <c r="S50" s="5"/>
      <c r="T50" s="143">
        <f t="shared" si="7"/>
        <v>37000</v>
      </c>
      <c r="W50" s="144"/>
      <c r="X50" s="105">
        <f t="shared" si="8"/>
        <v>216000</v>
      </c>
      <c r="Y50" s="139">
        <f t="shared" si="9"/>
        <v>0.4486111111</v>
      </c>
      <c r="Z50" s="144"/>
      <c r="AA50" s="105">
        <f t="shared" si="10"/>
        <v>420000</v>
      </c>
      <c r="AB50" s="139">
        <f t="shared" si="11"/>
        <v>0.4328571429</v>
      </c>
      <c r="AC50" s="144">
        <f t="shared" si="12"/>
        <v>68000</v>
      </c>
      <c r="AD50" s="105">
        <f t="shared" si="13"/>
        <v>816000</v>
      </c>
      <c r="AE50" s="139">
        <f t="shared" si="14"/>
        <v>0.4161764706</v>
      </c>
    </row>
    <row r="51" ht="14.25" customHeight="1">
      <c r="A51" s="133" t="s">
        <v>618</v>
      </c>
      <c r="B51" s="132" t="s">
        <v>619</v>
      </c>
      <c r="C51" s="132" t="s">
        <v>638</v>
      </c>
      <c r="D51" s="133" t="s">
        <v>617</v>
      </c>
      <c r="E51" s="134">
        <v>2.0</v>
      </c>
      <c r="F51" s="135" t="str">
        <f>IF(A51="","",VLOOKUP(A51,'Cotizador Compras'!$A$5:$J$21,2,FALSE))</f>
        <v>YOUR BRAND</v>
      </c>
      <c r="G51" s="136">
        <f>IF(A51="","",VLOOKUP(A51,'Cotizador Compras'!$A$5:$J$21,3,FALSE))</f>
        <v>37000</v>
      </c>
      <c r="H51" s="105">
        <f>IF(OR(A51="",D51=""),"",IF(D51="Sin estampar",0,IF(D51="Pecho",VLOOKUP(A51,'Cotizador Compras'!$A$5:$J$21,4,FALSE),IF(D51="Espalda",VLOOKUP(A51,'Cotizador Compras'!$A$5:$J$21,5,FALSE),VLOOKUP(A51,'Cotizador Compras'!$A$5:$J$21,4,FALSE)+VLOOKUP(A51,'Cotizador Compras'!$A$5:$J$21,5,FALSE)))))</f>
        <v>0</v>
      </c>
      <c r="I51" s="105">
        <f>IF(A51="","",VLOOKUP(A51,'Cotizador Compras'!$A$5:$J$21,6,FALSE))</f>
        <v>1700</v>
      </c>
      <c r="J51" s="105">
        <f>IF(A51="","",VLOOKUP(A51,'Cotizador Compras'!$A$5:$J$21,7,FALSE))</f>
        <v>1000</v>
      </c>
      <c r="K51" s="137">
        <f t="shared" si="1"/>
        <v>79400</v>
      </c>
      <c r="L51" s="105">
        <f>IF(A51="","",IF(D51="Sin estampar",VLOOKUP(A51,'Cotizador Compras'!$A$5:$J$21,8,FALSE),IF(D51="Pecho",VLOOKUP(A51,'Cotizador Compras'!$A$5:$J$21,10,FALSE),VLOOKUP(A51,'Cotizador Compras'!$A$5:$J$21,9,FALSE))))</f>
        <v>75000</v>
      </c>
      <c r="M51" s="138">
        <f t="shared" si="2"/>
        <v>150000</v>
      </c>
      <c r="N51" s="105">
        <f t="shared" si="3"/>
        <v>39700</v>
      </c>
      <c r="O51" s="139">
        <f t="shared" si="4"/>
        <v>0.4706666667</v>
      </c>
      <c r="P51" s="140" t="str">
        <f t="shared" si="5"/>
        <v>Camisa Oversize Peruana M Verde Botella</v>
      </c>
      <c r="Q51" s="145" t="s">
        <v>244</v>
      </c>
      <c r="R51" s="142">
        <f t="shared" si="6"/>
        <v>4</v>
      </c>
      <c r="S51" s="5"/>
      <c r="T51" s="143">
        <f t="shared" si="7"/>
        <v>74000</v>
      </c>
      <c r="W51" s="144"/>
      <c r="X51" s="105">
        <f t="shared" si="8"/>
        <v>216000</v>
      </c>
      <c r="Y51" s="139">
        <f t="shared" si="9"/>
        <v>0.4486111111</v>
      </c>
      <c r="Z51" s="144"/>
      <c r="AA51" s="105">
        <f t="shared" si="10"/>
        <v>420000</v>
      </c>
      <c r="AB51" s="139">
        <f t="shared" si="11"/>
        <v>0.4328571429</v>
      </c>
      <c r="AC51" s="144">
        <f t="shared" si="12"/>
        <v>136000</v>
      </c>
      <c r="AD51" s="105">
        <f t="shared" si="13"/>
        <v>816000</v>
      </c>
      <c r="AE51" s="139">
        <f t="shared" si="14"/>
        <v>0.4161764706</v>
      </c>
    </row>
    <row r="52" ht="14.25" customHeight="1">
      <c r="A52" s="133" t="s">
        <v>618</v>
      </c>
      <c r="B52" s="132" t="s">
        <v>623</v>
      </c>
      <c r="C52" s="132" t="s">
        <v>638</v>
      </c>
      <c r="D52" s="133" t="s">
        <v>617</v>
      </c>
      <c r="E52" s="134">
        <v>2.0</v>
      </c>
      <c r="F52" s="135" t="str">
        <f>IF(A52="","",VLOOKUP(A52,'Cotizador Compras'!$A$5:$J$21,2,FALSE))</f>
        <v>YOUR BRAND</v>
      </c>
      <c r="G52" s="136">
        <f>IF(A52="","",VLOOKUP(A52,'Cotizador Compras'!$A$5:$J$21,3,FALSE))</f>
        <v>37000</v>
      </c>
      <c r="H52" s="105">
        <f>IF(OR(A52="",D52=""),"",IF(D52="Sin estampar",0,IF(D52="Pecho",VLOOKUP(A52,'Cotizador Compras'!$A$5:$J$21,4,FALSE),IF(D52="Espalda",VLOOKUP(A52,'Cotizador Compras'!$A$5:$J$21,5,FALSE),VLOOKUP(A52,'Cotizador Compras'!$A$5:$J$21,4,FALSE)+VLOOKUP(A52,'Cotizador Compras'!$A$5:$J$21,5,FALSE)))))</f>
        <v>0</v>
      </c>
      <c r="I52" s="105">
        <f>IF(A52="","",VLOOKUP(A52,'Cotizador Compras'!$A$5:$J$21,6,FALSE))</f>
        <v>1700</v>
      </c>
      <c r="J52" s="105">
        <f>IF(A52="","",VLOOKUP(A52,'Cotizador Compras'!$A$5:$J$21,7,FALSE))</f>
        <v>1000</v>
      </c>
      <c r="K52" s="137">
        <f t="shared" si="1"/>
        <v>79400</v>
      </c>
      <c r="L52" s="105">
        <f>IF(A52="","",IF(D52="Sin estampar",VLOOKUP(A52,'Cotizador Compras'!$A$5:$J$21,8,FALSE),IF(D52="Pecho",VLOOKUP(A52,'Cotizador Compras'!$A$5:$J$21,10,FALSE),VLOOKUP(A52,'Cotizador Compras'!$A$5:$J$21,9,FALSE))))</f>
        <v>75000</v>
      </c>
      <c r="M52" s="138">
        <f t="shared" si="2"/>
        <v>150000</v>
      </c>
      <c r="N52" s="105">
        <f t="shared" si="3"/>
        <v>39700</v>
      </c>
      <c r="O52" s="139">
        <f t="shared" si="4"/>
        <v>0.4706666667</v>
      </c>
      <c r="P52" s="140" t="str">
        <f t="shared" si="5"/>
        <v>Camisa Oversize Peruana L Verde Botella</v>
      </c>
      <c r="Q52" s="145" t="s">
        <v>246</v>
      </c>
      <c r="R52" s="142">
        <f t="shared" si="6"/>
        <v>4</v>
      </c>
      <c r="S52" s="5"/>
      <c r="T52" s="143">
        <f t="shared" si="7"/>
        <v>74000</v>
      </c>
      <c r="W52" s="144"/>
      <c r="X52" s="105">
        <f t="shared" si="8"/>
        <v>216000</v>
      </c>
      <c r="Y52" s="139">
        <f t="shared" si="9"/>
        <v>0.4486111111</v>
      </c>
      <c r="Z52" s="144"/>
      <c r="AA52" s="105">
        <f t="shared" si="10"/>
        <v>420000</v>
      </c>
      <c r="AB52" s="139">
        <f t="shared" si="11"/>
        <v>0.4328571429</v>
      </c>
      <c r="AC52" s="144">
        <f t="shared" si="12"/>
        <v>136000</v>
      </c>
      <c r="AD52" s="105">
        <f t="shared" si="13"/>
        <v>816000</v>
      </c>
      <c r="AE52" s="139">
        <f t="shared" si="14"/>
        <v>0.4161764706</v>
      </c>
    </row>
    <row r="53" ht="14.25" customHeight="1">
      <c r="A53" s="133" t="s">
        <v>618</v>
      </c>
      <c r="B53" s="132" t="s">
        <v>627</v>
      </c>
      <c r="C53" s="132" t="s">
        <v>638</v>
      </c>
      <c r="D53" s="133" t="s">
        <v>617</v>
      </c>
      <c r="E53" s="146">
        <v>2.0</v>
      </c>
      <c r="F53" s="135" t="str">
        <f>IF(A53="","",VLOOKUP(A53,'Cotizador Compras'!$A$5:$J$21,2,FALSE))</f>
        <v>YOUR BRAND</v>
      </c>
      <c r="G53" s="136">
        <f>IF(A53="","",VLOOKUP(A53,'Cotizador Compras'!$A$5:$J$21,3,FALSE))</f>
        <v>37000</v>
      </c>
      <c r="H53" s="105">
        <f>IF(OR(A53="",D53=""),"",IF(D53="Sin estampar",0,IF(D53="Pecho",VLOOKUP(A53,'Cotizador Compras'!$A$5:$J$21,4,FALSE),IF(D53="Espalda",VLOOKUP(A53,'Cotizador Compras'!$A$5:$J$21,5,FALSE),VLOOKUP(A53,'Cotizador Compras'!$A$5:$J$21,4,FALSE)+VLOOKUP(A53,'Cotizador Compras'!$A$5:$J$21,5,FALSE)))))</f>
        <v>0</v>
      </c>
      <c r="I53" s="105">
        <f>IF(A53="","",VLOOKUP(A53,'Cotizador Compras'!$A$5:$J$21,6,FALSE))</f>
        <v>1700</v>
      </c>
      <c r="J53" s="105">
        <f>IF(A53="","",VLOOKUP(A53,'Cotizador Compras'!$A$5:$J$21,7,FALSE))</f>
        <v>1000</v>
      </c>
      <c r="K53" s="137">
        <f t="shared" si="1"/>
        <v>79400</v>
      </c>
      <c r="L53" s="105">
        <f>IF(A53="","",IF(D53="Sin estampar",VLOOKUP(A53,'Cotizador Compras'!$A$5:$J$21,8,FALSE),IF(D53="Pecho",VLOOKUP(A53,'Cotizador Compras'!$A$5:$J$21,10,FALSE),VLOOKUP(A53,'Cotizador Compras'!$A$5:$J$21,9,FALSE))))</f>
        <v>75000</v>
      </c>
      <c r="M53" s="138">
        <f t="shared" si="2"/>
        <v>150000</v>
      </c>
      <c r="N53" s="105">
        <f t="shared" si="3"/>
        <v>39700</v>
      </c>
      <c r="O53" s="139">
        <f t="shared" si="4"/>
        <v>0.4706666667</v>
      </c>
      <c r="P53" s="140" t="str">
        <f t="shared" si="5"/>
        <v>Camisa Oversize Peruana XL Verde Botella</v>
      </c>
      <c r="Q53" s="145" t="s">
        <v>248</v>
      </c>
      <c r="R53" s="142">
        <f t="shared" si="6"/>
        <v>2</v>
      </c>
      <c r="S53" s="5"/>
      <c r="T53" s="143">
        <f t="shared" si="7"/>
        <v>74000</v>
      </c>
      <c r="W53" s="144"/>
      <c r="X53" s="105">
        <f t="shared" si="8"/>
        <v>216000</v>
      </c>
      <c r="Y53" s="139">
        <f t="shared" si="9"/>
        <v>0.4486111111</v>
      </c>
      <c r="Z53" s="144"/>
      <c r="AA53" s="105">
        <f t="shared" si="10"/>
        <v>420000</v>
      </c>
      <c r="AB53" s="139">
        <f t="shared" si="11"/>
        <v>0.4328571429</v>
      </c>
      <c r="AC53" s="144">
        <f t="shared" si="12"/>
        <v>136000</v>
      </c>
      <c r="AD53" s="105">
        <f t="shared" si="13"/>
        <v>816000</v>
      </c>
      <c r="AE53" s="139">
        <f t="shared" si="14"/>
        <v>0.4161764706</v>
      </c>
    </row>
    <row r="54" ht="14.25" customHeight="1">
      <c r="A54" s="133" t="s">
        <v>618</v>
      </c>
      <c r="B54" s="132" t="s">
        <v>615</v>
      </c>
      <c r="C54" s="132" t="s">
        <v>638</v>
      </c>
      <c r="D54" s="133" t="s">
        <v>621</v>
      </c>
      <c r="E54" s="134">
        <v>1.0</v>
      </c>
      <c r="F54" s="135" t="str">
        <f>IF(A54="","",VLOOKUP(A54,'Cotizador Compras'!$A$5:$J$21,2,FALSE))</f>
        <v>YOUR BRAND</v>
      </c>
      <c r="G54" s="136">
        <f>IF(A54="","",VLOOKUP(A54,'Cotizador Compras'!$A$5:$J$21,3,FALSE))</f>
        <v>37000</v>
      </c>
      <c r="H54" s="105">
        <f>IF(OR(A54="",D54=""),"",IF(D54="Sin estampar",0,IF(D54="Pecho",VLOOKUP(A54,'Cotizador Compras'!$A$5:$J$21,4,FALSE),IF(D54="Espalda",VLOOKUP(A54,'Cotizador Compras'!$A$5:$J$21,5,FALSE),VLOOKUP(A54,'Cotizador Compras'!$A$5:$J$21,4,FALSE)+VLOOKUP(A54,'Cotizador Compras'!$A$5:$J$21,5,FALSE)))))</f>
        <v>3500</v>
      </c>
      <c r="I54" s="105">
        <f>IF(A54="","",VLOOKUP(A54,'Cotizador Compras'!$A$5:$J$21,6,FALSE))</f>
        <v>1700</v>
      </c>
      <c r="J54" s="105">
        <f>IF(A54="","",VLOOKUP(A54,'Cotizador Compras'!$A$5:$J$21,7,FALSE))</f>
        <v>1000</v>
      </c>
      <c r="K54" s="137">
        <f t="shared" si="1"/>
        <v>43200</v>
      </c>
      <c r="L54" s="105">
        <f>IF(A54="","",IF(D54="Sin estampar",VLOOKUP(A54,'Cotizador Compras'!$A$5:$J$21,8,FALSE),IF(D54="Pecho",VLOOKUP(A54,'Cotizador Compras'!$A$5:$J$21,10,FALSE),VLOOKUP(A54,'Cotizador Compras'!$A$5:$J$21,9,FALSE))))</f>
        <v>100000</v>
      </c>
      <c r="M54" s="138">
        <f t="shared" si="2"/>
        <v>100000</v>
      </c>
      <c r="N54" s="105">
        <f t="shared" si="3"/>
        <v>43200</v>
      </c>
      <c r="O54" s="139">
        <f t="shared" si="4"/>
        <v>0.568</v>
      </c>
      <c r="P54" s="140" t="str">
        <f t="shared" si="5"/>
        <v>Camisa Oversize Peruana S Verde Botella</v>
      </c>
      <c r="Q54" s="145" t="s">
        <v>250</v>
      </c>
      <c r="R54" s="142">
        <f t="shared" si="6"/>
        <v>4</v>
      </c>
      <c r="S54" s="5"/>
      <c r="T54" s="143">
        <f t="shared" si="7"/>
        <v>37000</v>
      </c>
      <c r="W54" s="144"/>
      <c r="X54" s="105">
        <f t="shared" si="8"/>
        <v>285000</v>
      </c>
      <c r="Y54" s="139">
        <f t="shared" si="9"/>
        <v>0.5452631579</v>
      </c>
      <c r="Z54" s="144"/>
      <c r="AA54" s="105">
        <f t="shared" si="10"/>
        <v>558000</v>
      </c>
      <c r="AB54" s="139">
        <f t="shared" si="11"/>
        <v>0.535483871</v>
      </c>
      <c r="AC54" s="144">
        <f t="shared" si="12"/>
        <v>90000</v>
      </c>
      <c r="AD54" s="105">
        <f t="shared" si="13"/>
        <v>1080000</v>
      </c>
      <c r="AE54" s="139">
        <f t="shared" si="14"/>
        <v>0.52</v>
      </c>
    </row>
    <row r="55" ht="14.25" customHeight="1">
      <c r="A55" s="133" t="s">
        <v>618</v>
      </c>
      <c r="B55" s="132" t="s">
        <v>619</v>
      </c>
      <c r="C55" s="132" t="s">
        <v>638</v>
      </c>
      <c r="D55" s="133" t="s">
        <v>621</v>
      </c>
      <c r="E55" s="134">
        <v>2.0</v>
      </c>
      <c r="F55" s="135" t="str">
        <f>IF(A55="","",VLOOKUP(A55,'Cotizador Compras'!$A$5:$J$21,2,FALSE))</f>
        <v>YOUR BRAND</v>
      </c>
      <c r="G55" s="136">
        <f>IF(A55="","",VLOOKUP(A55,'Cotizador Compras'!$A$5:$J$21,3,FALSE))</f>
        <v>37000</v>
      </c>
      <c r="H55" s="105">
        <f>IF(OR(A55="",D55=""),"",IF(D55="Sin estampar",0,IF(D55="Pecho",VLOOKUP(A55,'Cotizador Compras'!$A$5:$J$21,4,FALSE),IF(D55="Espalda",VLOOKUP(A55,'Cotizador Compras'!$A$5:$J$21,5,FALSE),VLOOKUP(A55,'Cotizador Compras'!$A$5:$J$21,4,FALSE)+VLOOKUP(A55,'Cotizador Compras'!$A$5:$J$21,5,FALSE)))))</f>
        <v>3500</v>
      </c>
      <c r="I55" s="105">
        <f>IF(A55="","",VLOOKUP(A55,'Cotizador Compras'!$A$5:$J$21,6,FALSE))</f>
        <v>1700</v>
      </c>
      <c r="J55" s="105">
        <f>IF(A55="","",VLOOKUP(A55,'Cotizador Compras'!$A$5:$J$21,7,FALSE))</f>
        <v>1000</v>
      </c>
      <c r="K55" s="137">
        <f t="shared" si="1"/>
        <v>86400</v>
      </c>
      <c r="L55" s="105">
        <f>IF(A55="","",IF(D55="Sin estampar",VLOOKUP(A55,'Cotizador Compras'!$A$5:$J$21,8,FALSE),IF(D55="Pecho",VLOOKUP(A55,'Cotizador Compras'!$A$5:$J$21,10,FALSE),VLOOKUP(A55,'Cotizador Compras'!$A$5:$J$21,9,FALSE))))</f>
        <v>100000</v>
      </c>
      <c r="M55" s="138">
        <f t="shared" si="2"/>
        <v>200000</v>
      </c>
      <c r="N55" s="105">
        <f t="shared" si="3"/>
        <v>43200</v>
      </c>
      <c r="O55" s="139">
        <f t="shared" si="4"/>
        <v>0.568</v>
      </c>
      <c r="P55" s="140" t="str">
        <f t="shared" si="5"/>
        <v>Camisa Oversize Peruana M Verde Botella</v>
      </c>
      <c r="Q55" s="145" t="s">
        <v>252</v>
      </c>
      <c r="R55" s="142">
        <f t="shared" si="6"/>
        <v>4</v>
      </c>
      <c r="S55" s="5"/>
      <c r="T55" s="143">
        <f t="shared" si="7"/>
        <v>74000</v>
      </c>
      <c r="W55" s="144"/>
      <c r="X55" s="105">
        <f t="shared" si="8"/>
        <v>285000</v>
      </c>
      <c r="Y55" s="139">
        <f t="shared" si="9"/>
        <v>0.5452631579</v>
      </c>
      <c r="Z55" s="144"/>
      <c r="AA55" s="105">
        <f t="shared" si="10"/>
        <v>558000</v>
      </c>
      <c r="AB55" s="139">
        <f t="shared" si="11"/>
        <v>0.535483871</v>
      </c>
      <c r="AC55" s="144">
        <f t="shared" si="12"/>
        <v>180000</v>
      </c>
      <c r="AD55" s="105">
        <f t="shared" si="13"/>
        <v>1080000</v>
      </c>
      <c r="AE55" s="139">
        <f t="shared" si="14"/>
        <v>0.52</v>
      </c>
    </row>
    <row r="56" ht="14.25" customHeight="1">
      <c r="A56" s="133" t="s">
        <v>618</v>
      </c>
      <c r="B56" s="132" t="s">
        <v>623</v>
      </c>
      <c r="C56" s="132" t="s">
        <v>638</v>
      </c>
      <c r="D56" s="133" t="s">
        <v>621</v>
      </c>
      <c r="E56" s="134">
        <v>2.0</v>
      </c>
      <c r="F56" s="135" t="str">
        <f>IF(A56="","",VLOOKUP(A56,'Cotizador Compras'!$A$5:$J$21,2,FALSE))</f>
        <v>YOUR BRAND</v>
      </c>
      <c r="G56" s="136">
        <f>IF(A56="","",VLOOKUP(A56,'Cotizador Compras'!$A$5:$J$21,3,FALSE))</f>
        <v>37000</v>
      </c>
      <c r="H56" s="105">
        <f>IF(OR(A56="",D56=""),"",IF(D56="Sin estampar",0,IF(D56="Pecho",VLOOKUP(A56,'Cotizador Compras'!$A$5:$J$21,4,FALSE),IF(D56="Espalda",VLOOKUP(A56,'Cotizador Compras'!$A$5:$J$21,5,FALSE),VLOOKUP(A56,'Cotizador Compras'!$A$5:$J$21,4,FALSE)+VLOOKUP(A56,'Cotizador Compras'!$A$5:$J$21,5,FALSE)))))</f>
        <v>3500</v>
      </c>
      <c r="I56" s="105">
        <f>IF(A56="","",VLOOKUP(A56,'Cotizador Compras'!$A$5:$J$21,6,FALSE))</f>
        <v>1700</v>
      </c>
      <c r="J56" s="105">
        <f>IF(A56="","",VLOOKUP(A56,'Cotizador Compras'!$A$5:$J$21,7,FALSE))</f>
        <v>1000</v>
      </c>
      <c r="K56" s="137">
        <f t="shared" si="1"/>
        <v>86400</v>
      </c>
      <c r="L56" s="105">
        <f>IF(A56="","",IF(D56="Sin estampar",VLOOKUP(A56,'Cotizador Compras'!$A$5:$J$21,8,FALSE),IF(D56="Pecho",VLOOKUP(A56,'Cotizador Compras'!$A$5:$J$21,10,FALSE),VLOOKUP(A56,'Cotizador Compras'!$A$5:$J$21,9,FALSE))))</f>
        <v>100000</v>
      </c>
      <c r="M56" s="138">
        <f t="shared" si="2"/>
        <v>200000</v>
      </c>
      <c r="N56" s="105">
        <f t="shared" si="3"/>
        <v>43200</v>
      </c>
      <c r="O56" s="139">
        <f t="shared" si="4"/>
        <v>0.568</v>
      </c>
      <c r="P56" s="140" t="str">
        <f t="shared" si="5"/>
        <v>Camisa Oversize Peruana L Verde Botella</v>
      </c>
      <c r="Q56" s="145" t="s">
        <v>254</v>
      </c>
      <c r="R56" s="142">
        <f t="shared" si="6"/>
        <v>2</v>
      </c>
      <c r="S56" s="5"/>
      <c r="T56" s="143">
        <f t="shared" si="7"/>
        <v>74000</v>
      </c>
      <c r="W56" s="144"/>
      <c r="X56" s="105">
        <f t="shared" si="8"/>
        <v>285000</v>
      </c>
      <c r="Y56" s="139">
        <f t="shared" si="9"/>
        <v>0.5452631579</v>
      </c>
      <c r="Z56" s="144"/>
      <c r="AA56" s="105">
        <f t="shared" si="10"/>
        <v>558000</v>
      </c>
      <c r="AB56" s="139">
        <f t="shared" si="11"/>
        <v>0.535483871</v>
      </c>
      <c r="AC56" s="144">
        <f t="shared" si="12"/>
        <v>180000</v>
      </c>
      <c r="AD56" s="105">
        <f t="shared" si="13"/>
        <v>1080000</v>
      </c>
      <c r="AE56" s="139">
        <f t="shared" si="14"/>
        <v>0.52</v>
      </c>
    </row>
    <row r="57" ht="14.25" customHeight="1">
      <c r="A57" s="133" t="s">
        <v>618</v>
      </c>
      <c r="B57" s="132" t="s">
        <v>627</v>
      </c>
      <c r="C57" s="132" t="s">
        <v>638</v>
      </c>
      <c r="D57" s="133" t="s">
        <v>621</v>
      </c>
      <c r="E57" s="146">
        <v>2.0</v>
      </c>
      <c r="F57" s="135" t="str">
        <f>IF(A57="","",VLOOKUP(A57,'Cotizador Compras'!$A$5:$J$21,2,FALSE))</f>
        <v>YOUR BRAND</v>
      </c>
      <c r="G57" s="136">
        <f>IF(A57="","",VLOOKUP(A57,'Cotizador Compras'!$A$5:$J$21,3,FALSE))</f>
        <v>37000</v>
      </c>
      <c r="H57" s="105">
        <f>IF(OR(A57="",D57=""),"",IF(D57="Sin estampar",0,IF(D57="Pecho",VLOOKUP(A57,'Cotizador Compras'!$A$5:$J$21,4,FALSE),IF(D57="Espalda",VLOOKUP(A57,'Cotizador Compras'!$A$5:$J$21,5,FALSE),VLOOKUP(A57,'Cotizador Compras'!$A$5:$J$21,4,FALSE)+VLOOKUP(A57,'Cotizador Compras'!$A$5:$J$21,5,FALSE)))))</f>
        <v>3500</v>
      </c>
      <c r="I57" s="105">
        <f>IF(A57="","",VLOOKUP(A57,'Cotizador Compras'!$A$5:$J$21,6,FALSE))</f>
        <v>1700</v>
      </c>
      <c r="J57" s="105">
        <f>IF(A57="","",VLOOKUP(A57,'Cotizador Compras'!$A$5:$J$21,7,FALSE))</f>
        <v>1000</v>
      </c>
      <c r="K57" s="137">
        <f t="shared" si="1"/>
        <v>86400</v>
      </c>
      <c r="L57" s="105">
        <f>IF(A57="","",IF(D57="Sin estampar",VLOOKUP(A57,'Cotizador Compras'!$A$5:$J$21,8,FALSE),IF(D57="Pecho",VLOOKUP(A57,'Cotizador Compras'!$A$5:$J$21,10,FALSE),VLOOKUP(A57,'Cotizador Compras'!$A$5:$J$21,9,FALSE))))</f>
        <v>100000</v>
      </c>
      <c r="M57" s="138">
        <f t="shared" si="2"/>
        <v>200000</v>
      </c>
      <c r="N57" s="105">
        <f t="shared" si="3"/>
        <v>43200</v>
      </c>
      <c r="O57" s="139">
        <f t="shared" si="4"/>
        <v>0.568</v>
      </c>
      <c r="P57" s="140" t="str">
        <f t="shared" si="5"/>
        <v>Camisa Oversize Peruana XL Verde Botella</v>
      </c>
      <c r="Q57" s="145" t="s">
        <v>256</v>
      </c>
      <c r="R57" s="142">
        <f t="shared" si="6"/>
        <v>4</v>
      </c>
      <c r="S57" s="5"/>
      <c r="T57" s="143">
        <f t="shared" si="7"/>
        <v>74000</v>
      </c>
      <c r="W57" s="144"/>
      <c r="X57" s="105">
        <f t="shared" si="8"/>
        <v>285000</v>
      </c>
      <c r="Y57" s="139">
        <f t="shared" si="9"/>
        <v>0.5452631579</v>
      </c>
      <c r="Z57" s="144"/>
      <c r="AA57" s="105">
        <f t="shared" si="10"/>
        <v>558000</v>
      </c>
      <c r="AB57" s="139">
        <f t="shared" si="11"/>
        <v>0.535483871</v>
      </c>
      <c r="AC57" s="144">
        <f t="shared" si="12"/>
        <v>180000</v>
      </c>
      <c r="AD57" s="105">
        <f t="shared" si="13"/>
        <v>1080000</v>
      </c>
      <c r="AE57" s="139">
        <f t="shared" si="14"/>
        <v>0.52</v>
      </c>
    </row>
    <row r="58" ht="14.25" customHeight="1">
      <c r="A58" s="133" t="s">
        <v>618</v>
      </c>
      <c r="B58" s="132" t="s">
        <v>615</v>
      </c>
      <c r="C58" s="133" t="s">
        <v>620</v>
      </c>
      <c r="D58" s="133" t="s">
        <v>621</v>
      </c>
      <c r="E58" s="134">
        <v>1.0</v>
      </c>
      <c r="F58" s="135" t="str">
        <f>IF(A58="","",VLOOKUP(A58,'Cotizador Compras'!$A$5:$J$21,2,FALSE))</f>
        <v>YOUR BRAND</v>
      </c>
      <c r="G58" s="136">
        <f>IF(A58="","",VLOOKUP(A58,'Cotizador Compras'!$A$5:$J$21,3,FALSE))</f>
        <v>37000</v>
      </c>
      <c r="H58" s="105">
        <f>IF(OR(A58="",D58=""),"",IF(D58="Sin estampar",0,IF(D58="Pecho",VLOOKUP(A58,'Cotizador Compras'!$A$5:$J$21,4,FALSE),IF(D58="Espalda",VLOOKUP(A58,'Cotizador Compras'!$A$5:$J$21,5,FALSE),VLOOKUP(A58,'Cotizador Compras'!$A$5:$J$21,4,FALSE)+VLOOKUP(A58,'Cotizador Compras'!$A$5:$J$21,5,FALSE)))))</f>
        <v>3500</v>
      </c>
      <c r="I58" s="105">
        <f>IF(A58="","",VLOOKUP(A58,'Cotizador Compras'!$A$5:$J$21,6,FALSE))</f>
        <v>1700</v>
      </c>
      <c r="J58" s="105">
        <f>IF(A58="","",VLOOKUP(A58,'Cotizador Compras'!$A$5:$J$21,7,FALSE))</f>
        <v>1000</v>
      </c>
      <c r="K58" s="137">
        <f t="shared" si="1"/>
        <v>43200</v>
      </c>
      <c r="L58" s="105">
        <f>IF(A58="","",IF(D58="Sin estampar",VLOOKUP(A58,'Cotizador Compras'!$A$5:$J$21,8,FALSE),IF(D58="Pecho",VLOOKUP(A58,'Cotizador Compras'!$A$5:$J$21,10,FALSE),VLOOKUP(A58,'Cotizador Compras'!$A$5:$J$21,9,FALSE))))</f>
        <v>100000</v>
      </c>
      <c r="M58" s="138">
        <f t="shared" si="2"/>
        <v>100000</v>
      </c>
      <c r="N58" s="105">
        <f t="shared" si="3"/>
        <v>43200</v>
      </c>
      <c r="O58" s="139">
        <f t="shared" si="4"/>
        <v>0.568</v>
      </c>
      <c r="P58" s="140" t="str">
        <f t="shared" si="5"/>
        <v>Camisa Oversize Peruana S Blanco</v>
      </c>
      <c r="Q58" s="145" t="s">
        <v>258</v>
      </c>
      <c r="R58" s="142">
        <f t="shared" si="6"/>
        <v>4</v>
      </c>
      <c r="S58" s="5"/>
      <c r="T58" s="143">
        <f t="shared" si="7"/>
        <v>37000</v>
      </c>
      <c r="W58" s="144"/>
      <c r="X58" s="105">
        <f t="shared" si="8"/>
        <v>285000</v>
      </c>
      <c r="Y58" s="139">
        <f t="shared" si="9"/>
        <v>0.5452631579</v>
      </c>
      <c r="Z58" s="144"/>
      <c r="AA58" s="105">
        <f t="shared" si="10"/>
        <v>558000</v>
      </c>
      <c r="AB58" s="139">
        <f t="shared" si="11"/>
        <v>0.535483871</v>
      </c>
      <c r="AC58" s="144">
        <f t="shared" si="12"/>
        <v>90000</v>
      </c>
      <c r="AD58" s="105">
        <f t="shared" si="13"/>
        <v>1080000</v>
      </c>
      <c r="AE58" s="139">
        <f t="shared" si="14"/>
        <v>0.52</v>
      </c>
    </row>
    <row r="59" ht="14.25" customHeight="1">
      <c r="A59" s="133" t="s">
        <v>618</v>
      </c>
      <c r="B59" s="132" t="s">
        <v>619</v>
      </c>
      <c r="C59" s="133" t="s">
        <v>620</v>
      </c>
      <c r="D59" s="133" t="s">
        <v>621</v>
      </c>
      <c r="E59" s="134">
        <v>2.0</v>
      </c>
      <c r="F59" s="135" t="str">
        <f>IF(A59="","",VLOOKUP(A59,'Cotizador Compras'!$A$5:$J$21,2,FALSE))</f>
        <v>YOUR BRAND</v>
      </c>
      <c r="G59" s="136">
        <f>IF(A59="","",VLOOKUP(A59,'Cotizador Compras'!$A$5:$J$21,3,FALSE))</f>
        <v>37000</v>
      </c>
      <c r="H59" s="105">
        <f>IF(OR(A59="",D59=""),"",IF(D59="Sin estampar",0,IF(D59="Pecho",VLOOKUP(A59,'Cotizador Compras'!$A$5:$J$21,4,FALSE),IF(D59="Espalda",VLOOKUP(A59,'Cotizador Compras'!$A$5:$J$21,5,FALSE),VLOOKUP(A59,'Cotizador Compras'!$A$5:$J$21,4,FALSE)+VLOOKUP(A59,'Cotizador Compras'!$A$5:$J$21,5,FALSE)))))</f>
        <v>3500</v>
      </c>
      <c r="I59" s="105">
        <f>IF(A59="","",VLOOKUP(A59,'Cotizador Compras'!$A$5:$J$21,6,FALSE))</f>
        <v>1700</v>
      </c>
      <c r="J59" s="105">
        <f>IF(A59="","",VLOOKUP(A59,'Cotizador Compras'!$A$5:$J$21,7,FALSE))</f>
        <v>1000</v>
      </c>
      <c r="K59" s="137">
        <f t="shared" si="1"/>
        <v>86400</v>
      </c>
      <c r="L59" s="105">
        <f>IF(A59="","",IF(D59="Sin estampar",VLOOKUP(A59,'Cotizador Compras'!$A$5:$J$21,8,FALSE),IF(D59="Pecho",VLOOKUP(A59,'Cotizador Compras'!$A$5:$J$21,10,FALSE),VLOOKUP(A59,'Cotizador Compras'!$A$5:$J$21,9,FALSE))))</f>
        <v>100000</v>
      </c>
      <c r="M59" s="138">
        <f t="shared" si="2"/>
        <v>200000</v>
      </c>
      <c r="N59" s="105">
        <f t="shared" si="3"/>
        <v>43200</v>
      </c>
      <c r="O59" s="139">
        <f t="shared" si="4"/>
        <v>0.568</v>
      </c>
      <c r="P59" s="140" t="str">
        <f t="shared" si="5"/>
        <v>Camisa Oversize Peruana M Blanco</v>
      </c>
      <c r="Q59" s="145" t="s">
        <v>260</v>
      </c>
      <c r="R59" s="142">
        <f t="shared" si="6"/>
        <v>12</v>
      </c>
      <c r="S59" s="5"/>
      <c r="T59" s="143">
        <f t="shared" si="7"/>
        <v>74000</v>
      </c>
      <c r="W59" s="144"/>
      <c r="X59" s="105">
        <f t="shared" si="8"/>
        <v>285000</v>
      </c>
      <c r="Y59" s="139">
        <f t="shared" si="9"/>
        <v>0.5452631579</v>
      </c>
      <c r="Z59" s="144"/>
      <c r="AA59" s="105">
        <f t="shared" si="10"/>
        <v>558000</v>
      </c>
      <c r="AB59" s="139">
        <f t="shared" si="11"/>
        <v>0.535483871</v>
      </c>
      <c r="AC59" s="144">
        <f t="shared" si="12"/>
        <v>180000</v>
      </c>
      <c r="AD59" s="105">
        <f t="shared" si="13"/>
        <v>1080000</v>
      </c>
      <c r="AE59" s="139">
        <f t="shared" si="14"/>
        <v>0.52</v>
      </c>
    </row>
    <row r="60" ht="14.25" customHeight="1">
      <c r="A60" s="133" t="s">
        <v>618</v>
      </c>
      <c r="B60" s="132" t="s">
        <v>623</v>
      </c>
      <c r="C60" s="133" t="s">
        <v>620</v>
      </c>
      <c r="D60" s="133" t="s">
        <v>621</v>
      </c>
      <c r="E60" s="134">
        <v>2.0</v>
      </c>
      <c r="F60" s="135" t="str">
        <f>IF(A60="","",VLOOKUP(A60,'Cotizador Compras'!$A$5:$J$21,2,FALSE))</f>
        <v>YOUR BRAND</v>
      </c>
      <c r="G60" s="136">
        <f>IF(A60="","",VLOOKUP(A60,'Cotizador Compras'!$A$5:$J$21,3,FALSE))</f>
        <v>37000</v>
      </c>
      <c r="H60" s="105">
        <f>IF(OR(A60="",D60=""),"",IF(D60="Sin estampar",0,IF(D60="Pecho",VLOOKUP(A60,'Cotizador Compras'!$A$5:$J$21,4,FALSE),IF(D60="Espalda",VLOOKUP(A60,'Cotizador Compras'!$A$5:$J$21,5,FALSE),VLOOKUP(A60,'Cotizador Compras'!$A$5:$J$21,4,FALSE)+VLOOKUP(A60,'Cotizador Compras'!$A$5:$J$21,5,FALSE)))))</f>
        <v>3500</v>
      </c>
      <c r="I60" s="105">
        <f>IF(A60="","",VLOOKUP(A60,'Cotizador Compras'!$A$5:$J$21,6,FALSE))</f>
        <v>1700</v>
      </c>
      <c r="J60" s="105">
        <f>IF(A60="","",VLOOKUP(A60,'Cotizador Compras'!$A$5:$J$21,7,FALSE))</f>
        <v>1000</v>
      </c>
      <c r="K60" s="137">
        <f t="shared" si="1"/>
        <v>86400</v>
      </c>
      <c r="L60" s="105">
        <f>IF(A60="","",IF(D60="Sin estampar",VLOOKUP(A60,'Cotizador Compras'!$A$5:$J$21,8,FALSE),IF(D60="Pecho",VLOOKUP(A60,'Cotizador Compras'!$A$5:$J$21,10,FALSE),VLOOKUP(A60,'Cotizador Compras'!$A$5:$J$21,9,FALSE))))</f>
        <v>100000</v>
      </c>
      <c r="M60" s="138">
        <f t="shared" si="2"/>
        <v>200000</v>
      </c>
      <c r="N60" s="105">
        <f t="shared" si="3"/>
        <v>43200</v>
      </c>
      <c r="O60" s="139">
        <f t="shared" si="4"/>
        <v>0.568</v>
      </c>
      <c r="P60" s="140" t="str">
        <f t="shared" si="5"/>
        <v>Camisa Oversize Peruana L Blanco</v>
      </c>
      <c r="Q60" s="145" t="s">
        <v>262</v>
      </c>
      <c r="R60" s="142">
        <f t="shared" si="6"/>
        <v>2</v>
      </c>
      <c r="S60" s="5"/>
      <c r="T60" s="143">
        <f t="shared" si="7"/>
        <v>74000</v>
      </c>
      <c r="W60" s="144"/>
      <c r="X60" s="105">
        <f t="shared" si="8"/>
        <v>285000</v>
      </c>
      <c r="Y60" s="139">
        <f t="shared" si="9"/>
        <v>0.5452631579</v>
      </c>
      <c r="Z60" s="144"/>
      <c r="AA60" s="105">
        <f t="shared" si="10"/>
        <v>558000</v>
      </c>
      <c r="AB60" s="139">
        <f t="shared" si="11"/>
        <v>0.535483871</v>
      </c>
      <c r="AC60" s="144">
        <f t="shared" si="12"/>
        <v>180000</v>
      </c>
      <c r="AD60" s="105">
        <f t="shared" si="13"/>
        <v>1080000</v>
      </c>
      <c r="AE60" s="139">
        <f t="shared" si="14"/>
        <v>0.52</v>
      </c>
    </row>
    <row r="61" ht="14.25" customHeight="1">
      <c r="A61" s="133" t="s">
        <v>618</v>
      </c>
      <c r="B61" s="132" t="s">
        <v>627</v>
      </c>
      <c r="C61" s="133" t="s">
        <v>620</v>
      </c>
      <c r="D61" s="133" t="s">
        <v>621</v>
      </c>
      <c r="E61" s="146">
        <v>2.0</v>
      </c>
      <c r="F61" s="135" t="str">
        <f>IF(A61="","",VLOOKUP(A61,'Cotizador Compras'!$A$5:$J$21,2,FALSE))</f>
        <v>YOUR BRAND</v>
      </c>
      <c r="G61" s="136">
        <f>IF(A61="","",VLOOKUP(A61,'Cotizador Compras'!$A$5:$J$21,3,FALSE))</f>
        <v>37000</v>
      </c>
      <c r="H61" s="105">
        <f>IF(OR(A61="",D61=""),"",IF(D61="Sin estampar",0,IF(D61="Pecho",VLOOKUP(A61,'Cotizador Compras'!$A$5:$J$21,4,FALSE),IF(D61="Espalda",VLOOKUP(A61,'Cotizador Compras'!$A$5:$J$21,5,FALSE),VLOOKUP(A61,'Cotizador Compras'!$A$5:$J$21,4,FALSE)+VLOOKUP(A61,'Cotizador Compras'!$A$5:$J$21,5,FALSE)))))</f>
        <v>3500</v>
      </c>
      <c r="I61" s="105">
        <f>IF(A61="","",VLOOKUP(A61,'Cotizador Compras'!$A$5:$J$21,6,FALSE))</f>
        <v>1700</v>
      </c>
      <c r="J61" s="105">
        <f>IF(A61="","",VLOOKUP(A61,'Cotizador Compras'!$A$5:$J$21,7,FALSE))</f>
        <v>1000</v>
      </c>
      <c r="K61" s="137">
        <f t="shared" si="1"/>
        <v>86400</v>
      </c>
      <c r="L61" s="105">
        <f>IF(A61="","",IF(D61="Sin estampar",VLOOKUP(A61,'Cotizador Compras'!$A$5:$J$21,8,FALSE),IF(D61="Pecho",VLOOKUP(A61,'Cotizador Compras'!$A$5:$J$21,10,FALSE),VLOOKUP(A61,'Cotizador Compras'!$A$5:$J$21,9,FALSE))))</f>
        <v>100000</v>
      </c>
      <c r="M61" s="138">
        <f t="shared" si="2"/>
        <v>200000</v>
      </c>
      <c r="N61" s="105">
        <f t="shared" si="3"/>
        <v>43200</v>
      </c>
      <c r="O61" s="139">
        <f t="shared" si="4"/>
        <v>0.568</v>
      </c>
      <c r="P61" s="140" t="str">
        <f t="shared" si="5"/>
        <v>Camisa Oversize Peruana XL Blanco</v>
      </c>
      <c r="Q61" s="145" t="s">
        <v>264</v>
      </c>
      <c r="R61" s="142">
        <f t="shared" si="6"/>
        <v>8</v>
      </c>
      <c r="S61" s="5"/>
      <c r="T61" s="143">
        <f t="shared" si="7"/>
        <v>74000</v>
      </c>
      <c r="W61" s="144"/>
      <c r="X61" s="105">
        <f t="shared" si="8"/>
        <v>285000</v>
      </c>
      <c r="Y61" s="139">
        <f t="shared" si="9"/>
        <v>0.5452631579</v>
      </c>
      <c r="Z61" s="144"/>
      <c r="AA61" s="105">
        <f t="shared" si="10"/>
        <v>558000</v>
      </c>
      <c r="AB61" s="139">
        <f t="shared" si="11"/>
        <v>0.535483871</v>
      </c>
      <c r="AC61" s="144">
        <f t="shared" si="12"/>
        <v>180000</v>
      </c>
      <c r="AD61" s="105">
        <f t="shared" si="13"/>
        <v>1080000</v>
      </c>
      <c r="AE61" s="139">
        <f t="shared" si="14"/>
        <v>0.52</v>
      </c>
    </row>
    <row r="62" ht="14.25" customHeight="1">
      <c r="A62" s="133" t="s">
        <v>618</v>
      </c>
      <c r="B62" s="132" t="s">
        <v>615</v>
      </c>
      <c r="C62" s="132" t="s">
        <v>632</v>
      </c>
      <c r="D62" s="133" t="s">
        <v>621</v>
      </c>
      <c r="E62" s="134">
        <v>1.0</v>
      </c>
      <c r="F62" s="135" t="str">
        <f>IF(A62="","",VLOOKUP(A62,'Cotizador Compras'!$A$5:$J$21,2,FALSE))</f>
        <v>YOUR BRAND</v>
      </c>
      <c r="G62" s="136">
        <f>IF(A62="","",VLOOKUP(A62,'Cotizador Compras'!$A$5:$J$21,3,FALSE))</f>
        <v>37000</v>
      </c>
      <c r="H62" s="105">
        <f>IF(OR(A62="",D62=""),"",IF(D62="Sin estampar",0,IF(D62="Pecho",VLOOKUP(A62,'Cotizador Compras'!$A$5:$J$21,4,FALSE),IF(D62="Espalda",VLOOKUP(A62,'Cotizador Compras'!$A$5:$J$21,5,FALSE),VLOOKUP(A62,'Cotizador Compras'!$A$5:$J$21,4,FALSE)+VLOOKUP(A62,'Cotizador Compras'!$A$5:$J$21,5,FALSE)))))</f>
        <v>3500</v>
      </c>
      <c r="I62" s="105">
        <f>IF(A62="","",VLOOKUP(A62,'Cotizador Compras'!$A$5:$J$21,6,FALSE))</f>
        <v>1700</v>
      </c>
      <c r="J62" s="105">
        <f>IF(A62="","",VLOOKUP(A62,'Cotizador Compras'!$A$5:$J$21,7,FALSE))</f>
        <v>1000</v>
      </c>
      <c r="K62" s="137">
        <f t="shared" si="1"/>
        <v>43200</v>
      </c>
      <c r="L62" s="105">
        <f>IF(A62="","",IF(D62="Sin estampar",VLOOKUP(A62,'Cotizador Compras'!$A$5:$J$21,8,FALSE),IF(D62="Pecho",VLOOKUP(A62,'Cotizador Compras'!$A$5:$J$21,10,FALSE),VLOOKUP(A62,'Cotizador Compras'!$A$5:$J$21,9,FALSE))))</f>
        <v>100000</v>
      </c>
      <c r="M62" s="138">
        <f t="shared" si="2"/>
        <v>100000</v>
      </c>
      <c r="N62" s="105">
        <f t="shared" si="3"/>
        <v>43200</v>
      </c>
      <c r="O62" s="139">
        <f t="shared" si="4"/>
        <v>0.568</v>
      </c>
      <c r="P62" s="140" t="str">
        <f t="shared" si="5"/>
        <v>Camisa Oversize Peruana S Perla</v>
      </c>
      <c r="Q62" s="145" t="s">
        <v>266</v>
      </c>
      <c r="R62" s="142">
        <f t="shared" si="6"/>
        <v>8</v>
      </c>
      <c r="S62" s="5"/>
      <c r="T62" s="143">
        <f t="shared" si="7"/>
        <v>37000</v>
      </c>
      <c r="W62" s="144"/>
      <c r="X62" s="105">
        <f t="shared" si="8"/>
        <v>285000</v>
      </c>
      <c r="Y62" s="139">
        <f t="shared" si="9"/>
        <v>0.5452631579</v>
      </c>
      <c r="Z62" s="144"/>
      <c r="AA62" s="105">
        <f t="shared" si="10"/>
        <v>558000</v>
      </c>
      <c r="AB62" s="139">
        <f t="shared" si="11"/>
        <v>0.535483871</v>
      </c>
      <c r="AC62" s="144">
        <f t="shared" si="12"/>
        <v>90000</v>
      </c>
      <c r="AD62" s="105">
        <f t="shared" si="13"/>
        <v>1080000</v>
      </c>
      <c r="AE62" s="139">
        <f t="shared" si="14"/>
        <v>0.52</v>
      </c>
    </row>
    <row r="63" ht="14.25" customHeight="1">
      <c r="A63" s="133" t="s">
        <v>618</v>
      </c>
      <c r="B63" s="132" t="s">
        <v>619</v>
      </c>
      <c r="C63" s="132" t="s">
        <v>632</v>
      </c>
      <c r="D63" s="133" t="s">
        <v>621</v>
      </c>
      <c r="E63" s="134">
        <v>2.0</v>
      </c>
      <c r="F63" s="135" t="str">
        <f>IF(A63="","",VLOOKUP(A63,'Cotizador Compras'!$A$5:$J$21,2,FALSE))</f>
        <v>YOUR BRAND</v>
      </c>
      <c r="G63" s="136">
        <f>IF(A63="","",VLOOKUP(A63,'Cotizador Compras'!$A$5:$J$21,3,FALSE))</f>
        <v>37000</v>
      </c>
      <c r="H63" s="105">
        <f>IF(OR(A63="",D63=""),"",IF(D63="Sin estampar",0,IF(D63="Pecho",VLOOKUP(A63,'Cotizador Compras'!$A$5:$J$21,4,FALSE),IF(D63="Espalda",VLOOKUP(A63,'Cotizador Compras'!$A$5:$J$21,5,FALSE),VLOOKUP(A63,'Cotizador Compras'!$A$5:$J$21,4,FALSE)+VLOOKUP(A63,'Cotizador Compras'!$A$5:$J$21,5,FALSE)))))</f>
        <v>3500</v>
      </c>
      <c r="I63" s="105">
        <f>IF(A63="","",VLOOKUP(A63,'Cotizador Compras'!$A$5:$J$21,6,FALSE))</f>
        <v>1700</v>
      </c>
      <c r="J63" s="105">
        <f>IF(A63="","",VLOOKUP(A63,'Cotizador Compras'!$A$5:$J$21,7,FALSE))</f>
        <v>1000</v>
      </c>
      <c r="K63" s="137">
        <f t="shared" si="1"/>
        <v>86400</v>
      </c>
      <c r="L63" s="105">
        <f>IF(A63="","",IF(D63="Sin estampar",VLOOKUP(A63,'Cotizador Compras'!$A$5:$J$21,8,FALSE),IF(D63="Pecho",VLOOKUP(A63,'Cotizador Compras'!$A$5:$J$21,10,FALSE),VLOOKUP(A63,'Cotizador Compras'!$A$5:$J$21,9,FALSE))))</f>
        <v>100000</v>
      </c>
      <c r="M63" s="138">
        <f t="shared" si="2"/>
        <v>200000</v>
      </c>
      <c r="N63" s="105">
        <f t="shared" si="3"/>
        <v>43200</v>
      </c>
      <c r="O63" s="139">
        <f t="shared" si="4"/>
        <v>0.568</v>
      </c>
      <c r="P63" s="140" t="str">
        <f t="shared" si="5"/>
        <v>Camisa Oversize Peruana M Perla</v>
      </c>
      <c r="Q63" s="145" t="s">
        <v>268</v>
      </c>
      <c r="R63" s="142">
        <f t="shared" si="6"/>
        <v>2</v>
      </c>
      <c r="S63" s="5"/>
      <c r="T63" s="143">
        <f t="shared" si="7"/>
        <v>74000</v>
      </c>
      <c r="W63" s="144"/>
      <c r="X63" s="105">
        <f t="shared" si="8"/>
        <v>285000</v>
      </c>
      <c r="Y63" s="139">
        <f t="shared" si="9"/>
        <v>0.5452631579</v>
      </c>
      <c r="Z63" s="144"/>
      <c r="AA63" s="105">
        <f t="shared" si="10"/>
        <v>558000</v>
      </c>
      <c r="AB63" s="139">
        <f t="shared" si="11"/>
        <v>0.535483871</v>
      </c>
      <c r="AC63" s="144">
        <f t="shared" si="12"/>
        <v>180000</v>
      </c>
      <c r="AD63" s="105">
        <f t="shared" si="13"/>
        <v>1080000</v>
      </c>
      <c r="AE63" s="139">
        <f t="shared" si="14"/>
        <v>0.52</v>
      </c>
    </row>
    <row r="64" ht="14.25" customHeight="1">
      <c r="A64" s="133" t="s">
        <v>618</v>
      </c>
      <c r="B64" s="132" t="s">
        <v>623</v>
      </c>
      <c r="C64" s="132" t="s">
        <v>632</v>
      </c>
      <c r="D64" s="133" t="s">
        <v>621</v>
      </c>
      <c r="E64" s="134">
        <v>2.0</v>
      </c>
      <c r="F64" s="135" t="str">
        <f>IF(A64="","",VLOOKUP(A64,'Cotizador Compras'!$A$5:$J$21,2,FALSE))</f>
        <v>YOUR BRAND</v>
      </c>
      <c r="G64" s="136">
        <f>IF(A64="","",VLOOKUP(A64,'Cotizador Compras'!$A$5:$J$21,3,FALSE))</f>
        <v>37000</v>
      </c>
      <c r="H64" s="105">
        <f>IF(OR(A64="",D64=""),"",IF(D64="Sin estampar",0,IF(D64="Pecho",VLOOKUP(A64,'Cotizador Compras'!$A$5:$J$21,4,FALSE),IF(D64="Espalda",VLOOKUP(A64,'Cotizador Compras'!$A$5:$J$21,5,FALSE),VLOOKUP(A64,'Cotizador Compras'!$A$5:$J$21,4,FALSE)+VLOOKUP(A64,'Cotizador Compras'!$A$5:$J$21,5,FALSE)))))</f>
        <v>3500</v>
      </c>
      <c r="I64" s="105">
        <f>IF(A64="","",VLOOKUP(A64,'Cotizador Compras'!$A$5:$J$21,6,FALSE))</f>
        <v>1700</v>
      </c>
      <c r="J64" s="105">
        <f>IF(A64="","",VLOOKUP(A64,'Cotizador Compras'!$A$5:$J$21,7,FALSE))</f>
        <v>1000</v>
      </c>
      <c r="K64" s="137">
        <f t="shared" si="1"/>
        <v>86400</v>
      </c>
      <c r="L64" s="105">
        <f>IF(A64="","",IF(D64="Sin estampar",VLOOKUP(A64,'Cotizador Compras'!$A$5:$J$21,8,FALSE),IF(D64="Pecho",VLOOKUP(A64,'Cotizador Compras'!$A$5:$J$21,10,FALSE),VLOOKUP(A64,'Cotizador Compras'!$A$5:$J$21,9,FALSE))))</f>
        <v>100000</v>
      </c>
      <c r="M64" s="138">
        <f t="shared" si="2"/>
        <v>200000</v>
      </c>
      <c r="N64" s="105">
        <f t="shared" si="3"/>
        <v>43200</v>
      </c>
      <c r="O64" s="139">
        <f t="shared" si="4"/>
        <v>0.568</v>
      </c>
      <c r="P64" s="140" t="str">
        <f t="shared" si="5"/>
        <v>Camisa Oversize Peruana L Perla</v>
      </c>
      <c r="Q64" s="145" t="s">
        <v>270</v>
      </c>
      <c r="R64" s="142">
        <f t="shared" si="6"/>
        <v>4</v>
      </c>
      <c r="S64" s="5"/>
      <c r="T64" s="143">
        <f t="shared" si="7"/>
        <v>74000</v>
      </c>
      <c r="W64" s="144"/>
      <c r="X64" s="105">
        <f t="shared" si="8"/>
        <v>285000</v>
      </c>
      <c r="Y64" s="139">
        <f t="shared" si="9"/>
        <v>0.5452631579</v>
      </c>
      <c r="Z64" s="144"/>
      <c r="AA64" s="105">
        <f t="shared" si="10"/>
        <v>558000</v>
      </c>
      <c r="AB64" s="139">
        <f t="shared" si="11"/>
        <v>0.535483871</v>
      </c>
      <c r="AC64" s="144">
        <f t="shared" si="12"/>
        <v>180000</v>
      </c>
      <c r="AD64" s="105">
        <f t="shared" si="13"/>
        <v>1080000</v>
      </c>
      <c r="AE64" s="139">
        <f t="shared" si="14"/>
        <v>0.52</v>
      </c>
    </row>
    <row r="65" ht="14.25" customHeight="1">
      <c r="A65" s="133" t="s">
        <v>618</v>
      </c>
      <c r="B65" s="132" t="s">
        <v>627</v>
      </c>
      <c r="C65" s="132" t="s">
        <v>632</v>
      </c>
      <c r="D65" s="133" t="s">
        <v>621</v>
      </c>
      <c r="E65" s="146">
        <v>2.0</v>
      </c>
      <c r="F65" s="135" t="str">
        <f>IF(A65="","",VLOOKUP(A65,'Cotizador Compras'!$A$5:$J$21,2,FALSE))</f>
        <v>YOUR BRAND</v>
      </c>
      <c r="G65" s="136">
        <f>IF(A65="","",VLOOKUP(A65,'Cotizador Compras'!$A$5:$J$21,3,FALSE))</f>
        <v>37000</v>
      </c>
      <c r="H65" s="105">
        <f>IF(OR(A65="",D65=""),"",IF(D65="Sin estampar",0,IF(D65="Pecho",VLOOKUP(A65,'Cotizador Compras'!$A$5:$J$21,4,FALSE),IF(D65="Espalda",VLOOKUP(A65,'Cotizador Compras'!$A$5:$J$21,5,FALSE),VLOOKUP(A65,'Cotizador Compras'!$A$5:$J$21,4,FALSE)+VLOOKUP(A65,'Cotizador Compras'!$A$5:$J$21,5,FALSE)))))</f>
        <v>3500</v>
      </c>
      <c r="I65" s="105">
        <f>IF(A65="","",VLOOKUP(A65,'Cotizador Compras'!$A$5:$J$21,6,FALSE))</f>
        <v>1700</v>
      </c>
      <c r="J65" s="105">
        <f>IF(A65="","",VLOOKUP(A65,'Cotizador Compras'!$A$5:$J$21,7,FALSE))</f>
        <v>1000</v>
      </c>
      <c r="K65" s="137">
        <f t="shared" si="1"/>
        <v>86400</v>
      </c>
      <c r="L65" s="105">
        <f>IF(A65="","",IF(D65="Sin estampar",VLOOKUP(A65,'Cotizador Compras'!$A$5:$J$21,8,FALSE),IF(D65="Pecho",VLOOKUP(A65,'Cotizador Compras'!$A$5:$J$21,10,FALSE),VLOOKUP(A65,'Cotizador Compras'!$A$5:$J$21,9,FALSE))))</f>
        <v>100000</v>
      </c>
      <c r="M65" s="138">
        <f t="shared" si="2"/>
        <v>200000</v>
      </c>
      <c r="N65" s="105">
        <f t="shared" si="3"/>
        <v>43200</v>
      </c>
      <c r="O65" s="139">
        <f t="shared" si="4"/>
        <v>0.568</v>
      </c>
      <c r="P65" s="140" t="str">
        <f t="shared" si="5"/>
        <v>Camisa Oversize Peruana XL Perla</v>
      </c>
      <c r="Q65" s="145" t="s">
        <v>272</v>
      </c>
      <c r="R65" s="142">
        <f t="shared" si="6"/>
        <v>4</v>
      </c>
      <c r="S65" s="5"/>
      <c r="T65" s="143">
        <f t="shared" si="7"/>
        <v>74000</v>
      </c>
      <c r="W65" s="144"/>
      <c r="X65" s="105">
        <f t="shared" si="8"/>
        <v>285000</v>
      </c>
      <c r="Y65" s="139">
        <f t="shared" si="9"/>
        <v>0.5452631579</v>
      </c>
      <c r="Z65" s="144"/>
      <c r="AA65" s="105">
        <f t="shared" si="10"/>
        <v>558000</v>
      </c>
      <c r="AB65" s="139">
        <f t="shared" si="11"/>
        <v>0.535483871</v>
      </c>
      <c r="AC65" s="144">
        <f t="shared" si="12"/>
        <v>180000</v>
      </c>
      <c r="AD65" s="105">
        <f t="shared" si="13"/>
        <v>1080000</v>
      </c>
      <c r="AE65" s="139">
        <f t="shared" si="14"/>
        <v>0.52</v>
      </c>
    </row>
    <row r="66" ht="14.25" customHeight="1">
      <c r="A66" s="133" t="s">
        <v>618</v>
      </c>
      <c r="B66" s="132" t="s">
        <v>615</v>
      </c>
      <c r="C66" s="132" t="s">
        <v>628</v>
      </c>
      <c r="D66" s="133" t="s">
        <v>629</v>
      </c>
      <c r="E66" s="134">
        <v>1.0</v>
      </c>
      <c r="F66" s="135" t="str">
        <f>IF(A66="","",VLOOKUP(A66,'Cotizador Compras'!$A$5:$J$21,2,FALSE))</f>
        <v>YOUR BRAND</v>
      </c>
      <c r="G66" s="136">
        <f>IF(A66="","",VLOOKUP(A66,'Cotizador Compras'!$A$5:$J$21,3,FALSE))</f>
        <v>37000</v>
      </c>
      <c r="H66" s="105">
        <f>IF(OR(A66="",D66=""),"",IF(D66="Sin estampar",0,IF(D66="Pecho",VLOOKUP(A66,'Cotizador Compras'!$A$5:$J$21,4,FALSE),IF(D66="Espalda",VLOOKUP(A66,'Cotizador Compras'!$A$5:$J$21,5,FALSE),VLOOKUP(A66,'Cotizador Compras'!$A$5:$J$21,4,FALSE)+VLOOKUP(A66,'Cotizador Compras'!$A$5:$J$21,5,FALSE)))))</f>
        <v>14500</v>
      </c>
      <c r="I66" s="105">
        <f>IF(A66="","",VLOOKUP(A66,'Cotizador Compras'!$A$5:$J$21,6,FALSE))</f>
        <v>1700</v>
      </c>
      <c r="J66" s="105">
        <f>IF(A66="","",VLOOKUP(A66,'Cotizador Compras'!$A$5:$J$21,7,FALSE))</f>
        <v>1000</v>
      </c>
      <c r="K66" s="137">
        <f t="shared" si="1"/>
        <v>54200</v>
      </c>
      <c r="L66" s="105">
        <f>IF(A66="","",IF(D66="Sin estampar",VLOOKUP(A66,'Cotizador Compras'!$A$5:$J$21,8,FALSE),IF(D66="Pecho",VLOOKUP(A66,'Cotizador Compras'!$A$5:$J$21,10,FALSE),VLOOKUP(A66,'Cotizador Compras'!$A$5:$J$21,9,FALSE))))</f>
        <v>130000</v>
      </c>
      <c r="M66" s="138">
        <f t="shared" si="2"/>
        <v>130000</v>
      </c>
      <c r="N66" s="105">
        <f t="shared" si="3"/>
        <v>54200</v>
      </c>
      <c r="O66" s="139">
        <f t="shared" si="4"/>
        <v>0.5830769231</v>
      </c>
      <c r="P66" s="140" t="str">
        <f t="shared" si="5"/>
        <v>Camisa Oversize Peruana S Beige</v>
      </c>
      <c r="Q66" s="145" t="s">
        <v>274</v>
      </c>
      <c r="R66" s="142">
        <f t="shared" si="6"/>
        <v>2</v>
      </c>
      <c r="T66" s="143">
        <f t="shared" si="7"/>
        <v>37000</v>
      </c>
      <c r="W66" s="144"/>
      <c r="X66" s="105">
        <f t="shared" si="8"/>
        <v>372000</v>
      </c>
      <c r="Y66" s="139">
        <f t="shared" si="9"/>
        <v>0.5629032258</v>
      </c>
      <c r="Z66" s="144"/>
      <c r="AA66" s="105">
        <f t="shared" si="10"/>
        <v>726000</v>
      </c>
      <c r="AB66" s="139">
        <f t="shared" si="11"/>
        <v>0.5520661157</v>
      </c>
      <c r="AC66" s="144">
        <f t="shared" si="12"/>
        <v>117000</v>
      </c>
      <c r="AD66" s="105">
        <f t="shared" si="13"/>
        <v>1404000</v>
      </c>
      <c r="AE66" s="139">
        <f t="shared" si="14"/>
        <v>0.5367521368</v>
      </c>
    </row>
    <row r="67" ht="14.25" customHeight="1">
      <c r="A67" s="133" t="s">
        <v>618</v>
      </c>
      <c r="B67" s="132" t="s">
        <v>619</v>
      </c>
      <c r="C67" s="132" t="s">
        <v>628</v>
      </c>
      <c r="D67" s="133" t="s">
        <v>629</v>
      </c>
      <c r="E67" s="146">
        <v>2.0</v>
      </c>
      <c r="F67" s="135" t="str">
        <f>IF(A67="","",VLOOKUP(A67,'Cotizador Compras'!$A$5:$J$21,2,FALSE))</f>
        <v>YOUR BRAND</v>
      </c>
      <c r="G67" s="136">
        <f>IF(A67="","",VLOOKUP(A67,'Cotizador Compras'!$A$5:$J$21,3,FALSE))</f>
        <v>37000</v>
      </c>
      <c r="H67" s="105">
        <f>IF(OR(A67="",D67=""),"",IF(D67="Sin estampar",0,IF(D67="Pecho",VLOOKUP(A67,'Cotizador Compras'!$A$5:$J$21,4,FALSE),IF(D67="Espalda",VLOOKUP(A67,'Cotizador Compras'!$A$5:$J$21,5,FALSE),VLOOKUP(A67,'Cotizador Compras'!$A$5:$J$21,4,FALSE)+VLOOKUP(A67,'Cotizador Compras'!$A$5:$J$21,5,FALSE)))))</f>
        <v>14500</v>
      </c>
      <c r="I67" s="105">
        <f>IF(A67="","",VLOOKUP(A67,'Cotizador Compras'!$A$5:$J$21,6,FALSE))</f>
        <v>1700</v>
      </c>
      <c r="J67" s="105">
        <f>IF(A67="","",VLOOKUP(A67,'Cotizador Compras'!$A$5:$J$21,7,FALSE))</f>
        <v>1000</v>
      </c>
      <c r="K67" s="137">
        <f t="shared" si="1"/>
        <v>108400</v>
      </c>
      <c r="L67" s="105">
        <f>IF(A67="","",IF(D67="Sin estampar",VLOOKUP(A67,'Cotizador Compras'!$A$5:$J$21,8,FALSE),IF(D67="Pecho",VLOOKUP(A67,'Cotizador Compras'!$A$5:$J$21,10,FALSE),VLOOKUP(A67,'Cotizador Compras'!$A$5:$J$21,9,FALSE))))</f>
        <v>130000</v>
      </c>
      <c r="M67" s="138">
        <f t="shared" si="2"/>
        <v>260000</v>
      </c>
      <c r="N67" s="105">
        <f t="shared" si="3"/>
        <v>54200</v>
      </c>
      <c r="O67" s="139">
        <f t="shared" si="4"/>
        <v>0.5830769231</v>
      </c>
      <c r="P67" s="140" t="str">
        <f t="shared" si="5"/>
        <v>Camisa Oversize Peruana M Beige</v>
      </c>
      <c r="Q67" s="145" t="s">
        <v>276</v>
      </c>
      <c r="R67" s="142">
        <f t="shared" si="6"/>
        <v>4</v>
      </c>
      <c r="T67" s="143">
        <f t="shared" si="7"/>
        <v>74000</v>
      </c>
      <c r="W67" s="144"/>
      <c r="X67" s="105">
        <f t="shared" si="8"/>
        <v>372000</v>
      </c>
      <c r="Y67" s="139">
        <f t="shared" si="9"/>
        <v>0.5629032258</v>
      </c>
      <c r="Z67" s="144"/>
      <c r="AA67" s="105">
        <f t="shared" si="10"/>
        <v>726000</v>
      </c>
      <c r="AB67" s="139">
        <f t="shared" si="11"/>
        <v>0.5520661157</v>
      </c>
      <c r="AC67" s="144">
        <f t="shared" si="12"/>
        <v>234000</v>
      </c>
      <c r="AD67" s="105">
        <f t="shared" si="13"/>
        <v>1404000</v>
      </c>
      <c r="AE67" s="139">
        <f t="shared" si="14"/>
        <v>0.5367521368</v>
      </c>
    </row>
    <row r="68" ht="14.25" customHeight="1">
      <c r="A68" s="133" t="s">
        <v>618</v>
      </c>
      <c r="B68" s="132" t="s">
        <v>623</v>
      </c>
      <c r="C68" s="132" t="s">
        <v>628</v>
      </c>
      <c r="D68" s="133" t="s">
        <v>629</v>
      </c>
      <c r="E68" s="146">
        <v>2.0</v>
      </c>
      <c r="F68" s="135" t="str">
        <f>IF(A68="","",VLOOKUP(A68,'Cotizador Compras'!$A$5:$J$21,2,FALSE))</f>
        <v>YOUR BRAND</v>
      </c>
      <c r="G68" s="136">
        <f>IF(A68="","",VLOOKUP(A68,'Cotizador Compras'!$A$5:$J$21,3,FALSE))</f>
        <v>37000</v>
      </c>
      <c r="H68" s="105">
        <f>IF(OR(A68="",D68=""),"",IF(D68="Sin estampar",0,IF(D68="Pecho",VLOOKUP(A68,'Cotizador Compras'!$A$5:$J$21,4,FALSE),IF(D68="Espalda",VLOOKUP(A68,'Cotizador Compras'!$A$5:$J$21,5,FALSE),VLOOKUP(A68,'Cotizador Compras'!$A$5:$J$21,4,FALSE)+VLOOKUP(A68,'Cotizador Compras'!$A$5:$J$21,5,FALSE)))))</f>
        <v>14500</v>
      </c>
      <c r="I68" s="105">
        <f>IF(A68="","",VLOOKUP(A68,'Cotizador Compras'!$A$5:$J$21,6,FALSE))</f>
        <v>1700</v>
      </c>
      <c r="J68" s="105">
        <f>IF(A68="","",VLOOKUP(A68,'Cotizador Compras'!$A$5:$J$21,7,FALSE))</f>
        <v>1000</v>
      </c>
      <c r="K68" s="137">
        <f t="shared" si="1"/>
        <v>108400</v>
      </c>
      <c r="L68" s="105">
        <f>IF(A68="","",IF(D68="Sin estampar",VLOOKUP(A68,'Cotizador Compras'!$A$5:$J$21,8,FALSE),IF(D68="Pecho",VLOOKUP(A68,'Cotizador Compras'!$A$5:$J$21,10,FALSE),VLOOKUP(A68,'Cotizador Compras'!$A$5:$J$21,9,FALSE))))</f>
        <v>130000</v>
      </c>
      <c r="M68" s="138">
        <f t="shared" si="2"/>
        <v>260000</v>
      </c>
      <c r="N68" s="105">
        <f t="shared" si="3"/>
        <v>54200</v>
      </c>
      <c r="O68" s="139">
        <f t="shared" si="4"/>
        <v>0.5830769231</v>
      </c>
      <c r="P68" s="140" t="str">
        <f t="shared" si="5"/>
        <v>Camisa Oversize Peruana L Beige</v>
      </c>
      <c r="Q68" s="145" t="s">
        <v>278</v>
      </c>
      <c r="R68" s="142">
        <f t="shared" si="6"/>
        <v>4</v>
      </c>
      <c r="T68" s="143">
        <f t="shared" si="7"/>
        <v>74000</v>
      </c>
      <c r="W68" s="144"/>
      <c r="X68" s="105">
        <f t="shared" si="8"/>
        <v>372000</v>
      </c>
      <c r="Y68" s="139">
        <f t="shared" si="9"/>
        <v>0.5629032258</v>
      </c>
      <c r="Z68" s="144"/>
      <c r="AA68" s="105">
        <f t="shared" si="10"/>
        <v>726000</v>
      </c>
      <c r="AB68" s="139">
        <f t="shared" si="11"/>
        <v>0.5520661157</v>
      </c>
      <c r="AC68" s="144">
        <f t="shared" si="12"/>
        <v>234000</v>
      </c>
      <c r="AD68" s="105">
        <f t="shared" si="13"/>
        <v>1404000</v>
      </c>
      <c r="AE68" s="139">
        <f t="shared" si="14"/>
        <v>0.5367521368</v>
      </c>
    </row>
    <row r="69" ht="14.25" customHeight="1">
      <c r="A69" s="133" t="s">
        <v>618</v>
      </c>
      <c r="B69" s="132" t="s">
        <v>627</v>
      </c>
      <c r="C69" s="132" t="s">
        <v>628</v>
      </c>
      <c r="D69" s="133" t="s">
        <v>629</v>
      </c>
      <c r="E69" s="146">
        <v>2.0</v>
      </c>
      <c r="F69" s="135" t="str">
        <f>IF(A69="","",VLOOKUP(A69,'Cotizador Compras'!$A$5:$J$21,2,FALSE))</f>
        <v>YOUR BRAND</v>
      </c>
      <c r="G69" s="136">
        <f>IF(A69="","",VLOOKUP(A69,'Cotizador Compras'!$A$5:$J$21,3,FALSE))</f>
        <v>37000</v>
      </c>
      <c r="H69" s="105">
        <f>IF(OR(A69="",D69=""),"",IF(D69="Sin estampar",0,IF(D69="Pecho",VLOOKUP(A69,'Cotizador Compras'!$A$5:$J$21,4,FALSE),IF(D69="Espalda",VLOOKUP(A69,'Cotizador Compras'!$A$5:$J$21,5,FALSE),VLOOKUP(A69,'Cotizador Compras'!$A$5:$J$21,4,FALSE)+VLOOKUP(A69,'Cotizador Compras'!$A$5:$J$21,5,FALSE)))))</f>
        <v>14500</v>
      </c>
      <c r="I69" s="105">
        <f>IF(A69="","",VLOOKUP(A69,'Cotizador Compras'!$A$5:$J$21,6,FALSE))</f>
        <v>1700</v>
      </c>
      <c r="J69" s="105">
        <f>IF(A69="","",VLOOKUP(A69,'Cotizador Compras'!$A$5:$J$21,7,FALSE))</f>
        <v>1000</v>
      </c>
      <c r="K69" s="137">
        <f t="shared" si="1"/>
        <v>108400</v>
      </c>
      <c r="L69" s="105">
        <f>IF(A69="","",IF(D69="Sin estampar",VLOOKUP(A69,'Cotizador Compras'!$A$5:$J$21,8,FALSE),IF(D69="Pecho",VLOOKUP(A69,'Cotizador Compras'!$A$5:$J$21,10,FALSE),VLOOKUP(A69,'Cotizador Compras'!$A$5:$J$21,9,FALSE))))</f>
        <v>130000</v>
      </c>
      <c r="M69" s="138">
        <f t="shared" si="2"/>
        <v>260000</v>
      </c>
      <c r="N69" s="105">
        <f t="shared" si="3"/>
        <v>54200</v>
      </c>
      <c r="O69" s="139">
        <f t="shared" si="4"/>
        <v>0.5830769231</v>
      </c>
      <c r="P69" s="140" t="str">
        <f t="shared" si="5"/>
        <v>Camisa Oversize Peruana XL Beige</v>
      </c>
      <c r="Q69" s="145" t="s">
        <v>280</v>
      </c>
      <c r="R69" s="142">
        <f t="shared" si="6"/>
        <v>2</v>
      </c>
      <c r="T69" s="143">
        <f t="shared" si="7"/>
        <v>74000</v>
      </c>
      <c r="W69" s="144"/>
      <c r="X69" s="105">
        <f t="shared" si="8"/>
        <v>372000</v>
      </c>
      <c r="Y69" s="139">
        <f t="shared" si="9"/>
        <v>0.5629032258</v>
      </c>
      <c r="Z69" s="144"/>
      <c r="AA69" s="105">
        <f t="shared" si="10"/>
        <v>726000</v>
      </c>
      <c r="AB69" s="139">
        <f t="shared" si="11"/>
        <v>0.5520661157</v>
      </c>
      <c r="AC69" s="144">
        <f t="shared" si="12"/>
        <v>234000</v>
      </c>
      <c r="AD69" s="105">
        <f t="shared" si="13"/>
        <v>1404000</v>
      </c>
      <c r="AE69" s="139">
        <f t="shared" si="14"/>
        <v>0.5367521368</v>
      </c>
    </row>
    <row r="70" ht="14.25" customHeight="1">
      <c r="A70" s="133" t="s">
        <v>618</v>
      </c>
      <c r="B70" s="132" t="s">
        <v>615</v>
      </c>
      <c r="C70" s="132" t="s">
        <v>616</v>
      </c>
      <c r="D70" s="133" t="s">
        <v>629</v>
      </c>
      <c r="E70" s="134">
        <v>1.0</v>
      </c>
      <c r="F70" s="135" t="str">
        <f>IF(A70="","",VLOOKUP(A70,'Cotizador Compras'!$A$5:$J$21,2,FALSE))</f>
        <v>YOUR BRAND</v>
      </c>
      <c r="G70" s="136">
        <f>IF(A70="","",VLOOKUP(A70,'Cotizador Compras'!$A$5:$J$21,3,FALSE))</f>
        <v>37000</v>
      </c>
      <c r="H70" s="105">
        <f>IF(OR(A70="",D70=""),"",IF(D70="Sin estampar",0,IF(D70="Pecho",VLOOKUP(A70,'Cotizador Compras'!$A$5:$J$21,4,FALSE),IF(D70="Espalda",VLOOKUP(A70,'Cotizador Compras'!$A$5:$J$21,5,FALSE),VLOOKUP(A70,'Cotizador Compras'!$A$5:$J$21,4,FALSE)+VLOOKUP(A70,'Cotizador Compras'!$A$5:$J$21,5,FALSE)))))</f>
        <v>14500</v>
      </c>
      <c r="I70" s="105">
        <f>IF(A70="","",VLOOKUP(A70,'Cotizador Compras'!$A$5:$J$21,6,FALSE))</f>
        <v>1700</v>
      </c>
      <c r="J70" s="105">
        <f>IF(A70="","",VLOOKUP(A70,'Cotizador Compras'!$A$5:$J$21,7,FALSE))</f>
        <v>1000</v>
      </c>
      <c r="K70" s="137">
        <f t="shared" si="1"/>
        <v>54200</v>
      </c>
      <c r="L70" s="105">
        <f>IF(A70="","",IF(D70="Sin estampar",VLOOKUP(A70,'Cotizador Compras'!$A$5:$J$21,8,FALSE),IF(D70="Pecho",VLOOKUP(A70,'Cotizador Compras'!$A$5:$J$21,10,FALSE),VLOOKUP(A70,'Cotizador Compras'!$A$5:$J$21,9,FALSE))))</f>
        <v>130000</v>
      </c>
      <c r="M70" s="138">
        <f t="shared" si="2"/>
        <v>130000</v>
      </c>
      <c r="N70" s="105">
        <f t="shared" si="3"/>
        <v>54200</v>
      </c>
      <c r="O70" s="139">
        <f t="shared" si="4"/>
        <v>0.5830769231</v>
      </c>
      <c r="P70" s="140" t="str">
        <f t="shared" si="5"/>
        <v>Camisa Oversize Peruana S Negro</v>
      </c>
      <c r="Q70" s="145" t="s">
        <v>282</v>
      </c>
      <c r="R70" s="142">
        <f t="shared" si="6"/>
        <v>4</v>
      </c>
      <c r="T70" s="143">
        <f t="shared" si="7"/>
        <v>37000</v>
      </c>
      <c r="W70" s="144"/>
      <c r="X70" s="105">
        <f t="shared" si="8"/>
        <v>372000</v>
      </c>
      <c r="Y70" s="139">
        <f t="shared" si="9"/>
        <v>0.5629032258</v>
      </c>
      <c r="Z70" s="144"/>
      <c r="AA70" s="105">
        <f t="shared" si="10"/>
        <v>726000</v>
      </c>
      <c r="AB70" s="139">
        <f t="shared" si="11"/>
        <v>0.5520661157</v>
      </c>
      <c r="AC70" s="144">
        <f t="shared" si="12"/>
        <v>117000</v>
      </c>
      <c r="AD70" s="105">
        <f t="shared" si="13"/>
        <v>1404000</v>
      </c>
      <c r="AE70" s="139">
        <f t="shared" si="14"/>
        <v>0.5367521368</v>
      </c>
    </row>
    <row r="71" ht="14.25" customHeight="1">
      <c r="A71" s="133" t="s">
        <v>618</v>
      </c>
      <c r="B71" s="132" t="s">
        <v>619</v>
      </c>
      <c r="C71" s="132" t="s">
        <v>616</v>
      </c>
      <c r="D71" s="133" t="s">
        <v>629</v>
      </c>
      <c r="E71" s="146">
        <v>2.0</v>
      </c>
      <c r="F71" s="135" t="str">
        <f>IF(A71="","",VLOOKUP(A71,'Cotizador Compras'!$A$5:$J$21,2,FALSE))</f>
        <v>YOUR BRAND</v>
      </c>
      <c r="G71" s="136">
        <f>IF(A71="","",VLOOKUP(A71,'Cotizador Compras'!$A$5:$J$21,3,FALSE))</f>
        <v>37000</v>
      </c>
      <c r="H71" s="105">
        <f>IF(OR(A71="",D71=""),"",IF(D71="Sin estampar",0,IF(D71="Pecho",VLOOKUP(A71,'Cotizador Compras'!$A$5:$J$21,4,FALSE),IF(D71="Espalda",VLOOKUP(A71,'Cotizador Compras'!$A$5:$J$21,5,FALSE),VLOOKUP(A71,'Cotizador Compras'!$A$5:$J$21,4,FALSE)+VLOOKUP(A71,'Cotizador Compras'!$A$5:$J$21,5,FALSE)))))</f>
        <v>14500</v>
      </c>
      <c r="I71" s="105">
        <f>IF(A71="","",VLOOKUP(A71,'Cotizador Compras'!$A$5:$J$21,6,FALSE))</f>
        <v>1700</v>
      </c>
      <c r="J71" s="105">
        <f>IF(A71="","",VLOOKUP(A71,'Cotizador Compras'!$A$5:$J$21,7,FALSE))</f>
        <v>1000</v>
      </c>
      <c r="K71" s="137">
        <f t="shared" si="1"/>
        <v>108400</v>
      </c>
      <c r="L71" s="105">
        <f>IF(A71="","",IF(D71="Sin estampar",VLOOKUP(A71,'Cotizador Compras'!$A$5:$J$21,8,FALSE),IF(D71="Pecho",VLOOKUP(A71,'Cotizador Compras'!$A$5:$J$21,10,FALSE),VLOOKUP(A71,'Cotizador Compras'!$A$5:$J$21,9,FALSE))))</f>
        <v>130000</v>
      </c>
      <c r="M71" s="138">
        <f t="shared" si="2"/>
        <v>260000</v>
      </c>
      <c r="N71" s="105">
        <f t="shared" si="3"/>
        <v>54200</v>
      </c>
      <c r="O71" s="139">
        <f t="shared" si="4"/>
        <v>0.5830769231</v>
      </c>
      <c r="P71" s="140" t="str">
        <f t="shared" si="5"/>
        <v>Camisa Oversize Peruana M Negro</v>
      </c>
      <c r="Q71" s="145" t="s">
        <v>284</v>
      </c>
      <c r="R71" s="142">
        <f t="shared" si="6"/>
        <v>4</v>
      </c>
      <c r="T71" s="143">
        <f t="shared" si="7"/>
        <v>74000</v>
      </c>
      <c r="W71" s="144"/>
      <c r="X71" s="105">
        <f t="shared" si="8"/>
        <v>372000</v>
      </c>
      <c r="Y71" s="139">
        <f t="shared" si="9"/>
        <v>0.5629032258</v>
      </c>
      <c r="Z71" s="144"/>
      <c r="AA71" s="105">
        <f t="shared" si="10"/>
        <v>726000</v>
      </c>
      <c r="AB71" s="139">
        <f t="shared" si="11"/>
        <v>0.5520661157</v>
      </c>
      <c r="AC71" s="144">
        <f t="shared" si="12"/>
        <v>234000</v>
      </c>
      <c r="AD71" s="105">
        <f t="shared" si="13"/>
        <v>1404000</v>
      </c>
      <c r="AE71" s="139">
        <f t="shared" si="14"/>
        <v>0.5367521368</v>
      </c>
    </row>
    <row r="72" ht="14.25" customHeight="1">
      <c r="A72" s="133" t="s">
        <v>618</v>
      </c>
      <c r="B72" s="132" t="s">
        <v>623</v>
      </c>
      <c r="C72" s="132" t="s">
        <v>616</v>
      </c>
      <c r="D72" s="133" t="s">
        <v>629</v>
      </c>
      <c r="E72" s="146">
        <v>2.0</v>
      </c>
      <c r="F72" s="135" t="str">
        <f>IF(A72="","",VLOOKUP(A72,'Cotizador Compras'!$A$5:$J$21,2,FALSE))</f>
        <v>YOUR BRAND</v>
      </c>
      <c r="G72" s="136">
        <f>IF(A72="","",VLOOKUP(A72,'Cotizador Compras'!$A$5:$J$21,3,FALSE))</f>
        <v>37000</v>
      </c>
      <c r="H72" s="105">
        <f>IF(OR(A72="",D72=""),"",IF(D72="Sin estampar",0,IF(D72="Pecho",VLOOKUP(A72,'Cotizador Compras'!$A$5:$J$21,4,FALSE),IF(D72="Espalda",VLOOKUP(A72,'Cotizador Compras'!$A$5:$J$21,5,FALSE),VLOOKUP(A72,'Cotizador Compras'!$A$5:$J$21,4,FALSE)+VLOOKUP(A72,'Cotizador Compras'!$A$5:$J$21,5,FALSE)))))</f>
        <v>14500</v>
      </c>
      <c r="I72" s="105">
        <f>IF(A72="","",VLOOKUP(A72,'Cotizador Compras'!$A$5:$J$21,6,FALSE))</f>
        <v>1700</v>
      </c>
      <c r="J72" s="105">
        <f>IF(A72="","",VLOOKUP(A72,'Cotizador Compras'!$A$5:$J$21,7,FALSE))</f>
        <v>1000</v>
      </c>
      <c r="K72" s="137">
        <f t="shared" si="1"/>
        <v>108400</v>
      </c>
      <c r="L72" s="105">
        <f>IF(A72="","",IF(D72="Sin estampar",VLOOKUP(A72,'Cotizador Compras'!$A$5:$J$21,8,FALSE),IF(D72="Pecho",VLOOKUP(A72,'Cotizador Compras'!$A$5:$J$21,10,FALSE),VLOOKUP(A72,'Cotizador Compras'!$A$5:$J$21,9,FALSE))))</f>
        <v>130000</v>
      </c>
      <c r="M72" s="138">
        <f t="shared" si="2"/>
        <v>260000</v>
      </c>
      <c r="N72" s="105">
        <f t="shared" si="3"/>
        <v>54200</v>
      </c>
      <c r="O72" s="139">
        <f t="shared" si="4"/>
        <v>0.5830769231</v>
      </c>
      <c r="P72" s="140" t="str">
        <f t="shared" si="5"/>
        <v>Camisa Oversize Peruana L Negro</v>
      </c>
      <c r="Q72" s="145" t="s">
        <v>286</v>
      </c>
      <c r="R72" s="142">
        <f t="shared" si="6"/>
        <v>2</v>
      </c>
      <c r="T72" s="143">
        <f t="shared" si="7"/>
        <v>74000</v>
      </c>
      <c r="W72" s="144"/>
      <c r="X72" s="105">
        <f t="shared" si="8"/>
        <v>372000</v>
      </c>
      <c r="Y72" s="139">
        <f t="shared" si="9"/>
        <v>0.5629032258</v>
      </c>
      <c r="Z72" s="144"/>
      <c r="AA72" s="105">
        <f t="shared" si="10"/>
        <v>726000</v>
      </c>
      <c r="AB72" s="139">
        <f t="shared" si="11"/>
        <v>0.5520661157</v>
      </c>
      <c r="AC72" s="144">
        <f t="shared" si="12"/>
        <v>234000</v>
      </c>
      <c r="AD72" s="105">
        <f t="shared" si="13"/>
        <v>1404000</v>
      </c>
      <c r="AE72" s="139">
        <f t="shared" si="14"/>
        <v>0.5367521368</v>
      </c>
    </row>
    <row r="73" ht="14.25" customHeight="1">
      <c r="A73" s="133" t="s">
        <v>618</v>
      </c>
      <c r="B73" s="132" t="s">
        <v>627</v>
      </c>
      <c r="C73" s="132" t="s">
        <v>616</v>
      </c>
      <c r="D73" s="133" t="s">
        <v>629</v>
      </c>
      <c r="E73" s="146">
        <v>2.0</v>
      </c>
      <c r="F73" s="135" t="str">
        <f>IF(A73="","",VLOOKUP(A73,'Cotizador Compras'!$A$5:$J$21,2,FALSE))</f>
        <v>YOUR BRAND</v>
      </c>
      <c r="G73" s="136">
        <f>IF(A73="","",VLOOKUP(A73,'Cotizador Compras'!$A$5:$J$21,3,FALSE))</f>
        <v>37000</v>
      </c>
      <c r="H73" s="105">
        <f>IF(OR(A73="",D73=""),"",IF(D73="Sin estampar",0,IF(D73="Pecho",VLOOKUP(A73,'Cotizador Compras'!$A$5:$J$21,4,FALSE),IF(D73="Espalda",VLOOKUP(A73,'Cotizador Compras'!$A$5:$J$21,5,FALSE),VLOOKUP(A73,'Cotizador Compras'!$A$5:$J$21,4,FALSE)+VLOOKUP(A73,'Cotizador Compras'!$A$5:$J$21,5,FALSE)))))</f>
        <v>14500</v>
      </c>
      <c r="I73" s="105">
        <f>IF(A73="","",VLOOKUP(A73,'Cotizador Compras'!$A$5:$J$21,6,FALSE))</f>
        <v>1700</v>
      </c>
      <c r="J73" s="105">
        <f>IF(A73="","",VLOOKUP(A73,'Cotizador Compras'!$A$5:$J$21,7,FALSE))</f>
        <v>1000</v>
      </c>
      <c r="K73" s="137">
        <f t="shared" si="1"/>
        <v>108400</v>
      </c>
      <c r="L73" s="105">
        <f>IF(A73="","",IF(D73="Sin estampar",VLOOKUP(A73,'Cotizador Compras'!$A$5:$J$21,8,FALSE),IF(D73="Pecho",VLOOKUP(A73,'Cotizador Compras'!$A$5:$J$21,10,FALSE),VLOOKUP(A73,'Cotizador Compras'!$A$5:$J$21,9,FALSE))))</f>
        <v>130000</v>
      </c>
      <c r="M73" s="138">
        <f t="shared" si="2"/>
        <v>260000</v>
      </c>
      <c r="N73" s="105">
        <f t="shared" si="3"/>
        <v>54200</v>
      </c>
      <c r="O73" s="139">
        <f t="shared" si="4"/>
        <v>0.5830769231</v>
      </c>
      <c r="P73" s="140" t="str">
        <f t="shared" si="5"/>
        <v>Camisa Oversize Peruana XL Negro</v>
      </c>
      <c r="Q73" s="145" t="s">
        <v>288</v>
      </c>
      <c r="R73" s="142">
        <f t="shared" si="6"/>
        <v>4</v>
      </c>
      <c r="T73" s="143">
        <f t="shared" si="7"/>
        <v>74000</v>
      </c>
      <c r="W73" s="144"/>
      <c r="X73" s="105">
        <f t="shared" si="8"/>
        <v>372000</v>
      </c>
      <c r="Y73" s="139">
        <f t="shared" si="9"/>
        <v>0.5629032258</v>
      </c>
      <c r="Z73" s="144"/>
      <c r="AA73" s="105">
        <f t="shared" si="10"/>
        <v>726000</v>
      </c>
      <c r="AB73" s="139">
        <f t="shared" si="11"/>
        <v>0.5520661157</v>
      </c>
      <c r="AC73" s="144">
        <f t="shared" si="12"/>
        <v>234000</v>
      </c>
      <c r="AD73" s="105">
        <f t="shared" si="13"/>
        <v>1404000</v>
      </c>
      <c r="AE73" s="139">
        <f t="shared" si="14"/>
        <v>0.5367521368</v>
      </c>
    </row>
    <row r="74" ht="14.25" customHeight="1">
      <c r="A74" s="132" t="s">
        <v>626</v>
      </c>
      <c r="B74" s="132" t="s">
        <v>615</v>
      </c>
      <c r="C74" s="132" t="s">
        <v>616</v>
      </c>
      <c r="D74" s="132" t="s">
        <v>617</v>
      </c>
      <c r="E74" s="134">
        <v>1.0</v>
      </c>
      <c r="F74" s="147" t="s">
        <v>492</v>
      </c>
      <c r="G74" s="148">
        <f>IF(A74="","",VLOOKUP(A74,'Cotizador Compras'!$A$5:$J$21,3,FALSE))</f>
        <v>37000</v>
      </c>
      <c r="H74" s="105">
        <f>IF(OR(A74="",D74=""),"",IF(D74="Sin estampar",0,IF(D74="Pecho",VLOOKUP(A74,'Cotizador Compras'!$A$5:$J$21,4,FALSE),IF(D74="Espalda",VLOOKUP(A74,'Cotizador Compras'!$A$5:$J$21,5,FALSE),VLOOKUP(A74,'Cotizador Compras'!$A$5:$J$21,4,FALSE)+VLOOKUP(A74,'Cotizador Compras'!$A$5:$J$21,5,FALSE)))))</f>
        <v>0</v>
      </c>
      <c r="I74" s="105">
        <f>IF(A74="","",VLOOKUP(A74,'Cotizador Compras'!$A$5:$J$21,6,FALSE))</f>
        <v>1700</v>
      </c>
      <c r="J74" s="105">
        <f>IF(A74="","",VLOOKUP(A74,'Cotizador Compras'!$A$5:$J$21,7,FALSE))</f>
        <v>1000</v>
      </c>
      <c r="K74" s="137">
        <f t="shared" si="1"/>
        <v>39700</v>
      </c>
      <c r="L74" s="105">
        <f>IF(A74="","",IF(D74="Sin estampar",VLOOKUP(A74,'Cotizador Compras'!$A$5:$J$21,8,FALSE),IF(D74="Pecho",VLOOKUP(A74,'Cotizador Compras'!$A$5:$J$21,10,FALSE),VLOOKUP(A74,'Cotizador Compras'!$A$5:$J$21,9,FALSE))))</f>
        <v>75000</v>
      </c>
      <c r="M74" s="138">
        <f t="shared" si="2"/>
        <v>75000</v>
      </c>
      <c r="N74" s="105">
        <f t="shared" si="3"/>
        <v>39700</v>
      </c>
      <c r="O74" s="139">
        <f t="shared" si="4"/>
        <v>0.4706666667</v>
      </c>
      <c r="P74" s="140" t="str">
        <f t="shared" si="5"/>
        <v>Camisa Boxy fit S Negro</v>
      </c>
      <c r="Q74" s="145" t="s">
        <v>290</v>
      </c>
      <c r="R74" s="142">
        <f t="shared" si="6"/>
        <v>4</v>
      </c>
      <c r="T74" s="143">
        <f t="shared" si="7"/>
        <v>37000</v>
      </c>
      <c r="W74" s="144"/>
      <c r="X74" s="105">
        <f t="shared" si="8"/>
        <v>216000</v>
      </c>
      <c r="Y74" s="139">
        <f t="shared" si="9"/>
        <v>0.4486111111</v>
      </c>
      <c r="Z74" s="144"/>
      <c r="AA74" s="105">
        <f t="shared" si="10"/>
        <v>420000</v>
      </c>
      <c r="AB74" s="139">
        <f t="shared" si="11"/>
        <v>0.4328571429</v>
      </c>
      <c r="AC74" s="144">
        <f t="shared" si="12"/>
        <v>68000</v>
      </c>
      <c r="AD74" s="105">
        <f t="shared" si="13"/>
        <v>816000</v>
      </c>
      <c r="AE74" s="139">
        <f t="shared" si="14"/>
        <v>0.4161764706</v>
      </c>
    </row>
    <row r="75" ht="14.25" customHeight="1">
      <c r="A75" s="132" t="s">
        <v>626</v>
      </c>
      <c r="B75" s="132" t="s">
        <v>619</v>
      </c>
      <c r="C75" s="132" t="s">
        <v>616</v>
      </c>
      <c r="D75" s="132" t="s">
        <v>617</v>
      </c>
      <c r="E75" s="134">
        <v>2.0</v>
      </c>
      <c r="F75" s="147" t="s">
        <v>492</v>
      </c>
      <c r="G75" s="148">
        <f>IF(A75="","",VLOOKUP(A75,'Cotizador Compras'!$A$5:$J$21,3,FALSE))</f>
        <v>37000</v>
      </c>
      <c r="H75" s="105">
        <f>IF(OR(A75="",D75=""),"",IF(D75="Sin estampar",0,IF(D75="Pecho",VLOOKUP(A75,'Cotizador Compras'!$A$5:$J$21,4,FALSE),IF(D75="Espalda",VLOOKUP(A75,'Cotizador Compras'!$A$5:$J$21,5,FALSE),VLOOKUP(A75,'Cotizador Compras'!$A$5:$J$21,4,FALSE)+VLOOKUP(A75,'Cotizador Compras'!$A$5:$J$21,5,FALSE)))))</f>
        <v>0</v>
      </c>
      <c r="I75" s="105">
        <f>IF(A75="","",VLOOKUP(A75,'Cotizador Compras'!$A$5:$J$21,6,FALSE))</f>
        <v>1700</v>
      </c>
      <c r="J75" s="105">
        <f>IF(A75="","",VLOOKUP(A75,'Cotizador Compras'!$A$5:$J$21,7,FALSE))</f>
        <v>1000</v>
      </c>
      <c r="K75" s="137">
        <f t="shared" si="1"/>
        <v>79400</v>
      </c>
      <c r="L75" s="105">
        <f>IF(A75="","",IF(D75="Sin estampar",VLOOKUP(A75,'Cotizador Compras'!$A$5:$J$21,8,FALSE),IF(D75="Pecho",VLOOKUP(A75,'Cotizador Compras'!$A$5:$J$21,10,FALSE),VLOOKUP(A75,'Cotizador Compras'!$A$5:$J$21,9,FALSE))))</f>
        <v>75000</v>
      </c>
      <c r="M75" s="138">
        <f t="shared" si="2"/>
        <v>150000</v>
      </c>
      <c r="N75" s="105">
        <f t="shared" si="3"/>
        <v>39700</v>
      </c>
      <c r="O75" s="139">
        <f t="shared" si="4"/>
        <v>0.4706666667</v>
      </c>
      <c r="P75" s="140" t="str">
        <f t="shared" si="5"/>
        <v>Camisa Boxy fit M Negro</v>
      </c>
      <c r="Q75" s="145" t="s">
        <v>292</v>
      </c>
      <c r="R75" s="142">
        <f t="shared" si="6"/>
        <v>2</v>
      </c>
      <c r="T75" s="143">
        <f t="shared" si="7"/>
        <v>74000</v>
      </c>
      <c r="W75" s="144"/>
      <c r="X75" s="105">
        <f t="shared" si="8"/>
        <v>216000</v>
      </c>
      <c r="Y75" s="139">
        <f t="shared" si="9"/>
        <v>0.4486111111</v>
      </c>
      <c r="Z75" s="144"/>
      <c r="AA75" s="105">
        <f t="shared" si="10"/>
        <v>420000</v>
      </c>
      <c r="AB75" s="139">
        <f t="shared" si="11"/>
        <v>0.4328571429</v>
      </c>
      <c r="AC75" s="144">
        <f t="shared" si="12"/>
        <v>136000</v>
      </c>
      <c r="AD75" s="105">
        <f t="shared" si="13"/>
        <v>816000</v>
      </c>
      <c r="AE75" s="139">
        <f t="shared" si="14"/>
        <v>0.4161764706</v>
      </c>
    </row>
    <row r="76" ht="14.25" customHeight="1">
      <c r="A76" s="132" t="s">
        <v>626</v>
      </c>
      <c r="B76" s="132" t="s">
        <v>623</v>
      </c>
      <c r="C76" s="132" t="s">
        <v>616</v>
      </c>
      <c r="D76" s="132" t="s">
        <v>617</v>
      </c>
      <c r="E76" s="134">
        <v>2.0</v>
      </c>
      <c r="F76" s="147" t="s">
        <v>492</v>
      </c>
      <c r="G76" s="148">
        <f>IF(A76="","",VLOOKUP(A76,'Cotizador Compras'!$A$5:$J$21,3,FALSE))</f>
        <v>37000</v>
      </c>
      <c r="H76" s="105">
        <f>IF(OR(A76="",D76=""),"",IF(D76="Sin estampar",0,IF(D76="Pecho",VLOOKUP(A76,'Cotizador Compras'!$A$5:$J$21,4,FALSE),IF(D76="Espalda",VLOOKUP(A76,'Cotizador Compras'!$A$5:$J$21,5,FALSE),VLOOKUP(A76,'Cotizador Compras'!$A$5:$J$21,4,FALSE)+VLOOKUP(A76,'Cotizador Compras'!$A$5:$J$21,5,FALSE)))))</f>
        <v>0</v>
      </c>
      <c r="I76" s="105">
        <f>IF(A76="","",VLOOKUP(A76,'Cotizador Compras'!$A$5:$J$21,6,FALSE))</f>
        <v>1700</v>
      </c>
      <c r="J76" s="105">
        <f>IF(A76="","",VLOOKUP(A76,'Cotizador Compras'!$A$5:$J$21,7,FALSE))</f>
        <v>1000</v>
      </c>
      <c r="K76" s="137">
        <f t="shared" si="1"/>
        <v>79400</v>
      </c>
      <c r="L76" s="105">
        <f>IF(A76="","",IF(D76="Sin estampar",VLOOKUP(A76,'Cotizador Compras'!$A$5:$J$21,8,FALSE),IF(D76="Pecho",VLOOKUP(A76,'Cotizador Compras'!$A$5:$J$21,10,FALSE),VLOOKUP(A76,'Cotizador Compras'!$A$5:$J$21,9,FALSE))))</f>
        <v>75000</v>
      </c>
      <c r="M76" s="138">
        <f t="shared" si="2"/>
        <v>150000</v>
      </c>
      <c r="N76" s="105">
        <f t="shared" si="3"/>
        <v>39700</v>
      </c>
      <c r="O76" s="139">
        <f t="shared" si="4"/>
        <v>0.4706666667</v>
      </c>
      <c r="P76" s="140" t="str">
        <f t="shared" si="5"/>
        <v>Camisa Boxy fit L Negro</v>
      </c>
      <c r="Q76" s="145" t="s">
        <v>294</v>
      </c>
      <c r="R76" s="142">
        <f t="shared" si="6"/>
        <v>4</v>
      </c>
      <c r="T76" s="143">
        <f t="shared" si="7"/>
        <v>74000</v>
      </c>
      <c r="W76" s="144"/>
      <c r="X76" s="105">
        <f t="shared" si="8"/>
        <v>216000</v>
      </c>
      <c r="Y76" s="139">
        <f t="shared" si="9"/>
        <v>0.4486111111</v>
      </c>
      <c r="Z76" s="144"/>
      <c r="AA76" s="105">
        <f t="shared" si="10"/>
        <v>420000</v>
      </c>
      <c r="AB76" s="139">
        <f t="shared" si="11"/>
        <v>0.4328571429</v>
      </c>
      <c r="AC76" s="144">
        <f t="shared" si="12"/>
        <v>136000</v>
      </c>
      <c r="AD76" s="105">
        <f t="shared" si="13"/>
        <v>816000</v>
      </c>
      <c r="AE76" s="139">
        <f t="shared" si="14"/>
        <v>0.4161764706</v>
      </c>
    </row>
    <row r="77" ht="14.25" customHeight="1">
      <c r="A77" s="132" t="s">
        <v>626</v>
      </c>
      <c r="B77" s="132" t="s">
        <v>615</v>
      </c>
      <c r="C77" s="132" t="s">
        <v>620</v>
      </c>
      <c r="D77" s="132" t="s">
        <v>617</v>
      </c>
      <c r="E77" s="134">
        <v>1.0</v>
      </c>
      <c r="F77" s="147" t="s">
        <v>492</v>
      </c>
      <c r="G77" s="148">
        <f>IF(A77="","",VLOOKUP(A77,'Cotizador Compras'!$A$5:$J$21,3,FALSE))</f>
        <v>37000</v>
      </c>
      <c r="H77" s="105">
        <f>IF(OR(A77="",D77=""),"",IF(D77="Sin estampar",0,IF(D77="Pecho",VLOOKUP(A77,'Cotizador Compras'!$A$5:$J$21,4,FALSE),IF(D77="Espalda",VLOOKUP(A77,'Cotizador Compras'!$A$5:$J$21,5,FALSE),VLOOKUP(A77,'Cotizador Compras'!$A$5:$J$21,4,FALSE)+VLOOKUP(A77,'Cotizador Compras'!$A$5:$J$21,5,FALSE)))))</f>
        <v>0</v>
      </c>
      <c r="I77" s="105">
        <f>IF(A77="","",VLOOKUP(A77,'Cotizador Compras'!$A$5:$J$21,6,FALSE))</f>
        <v>1700</v>
      </c>
      <c r="J77" s="105">
        <f>IF(A77="","",VLOOKUP(A77,'Cotizador Compras'!$A$5:$J$21,7,FALSE))</f>
        <v>1000</v>
      </c>
      <c r="K77" s="137">
        <f t="shared" si="1"/>
        <v>39700</v>
      </c>
      <c r="L77" s="105">
        <f>IF(A77="","",IF(D77="Sin estampar",VLOOKUP(A77,'Cotizador Compras'!$A$5:$J$21,8,FALSE),IF(D77="Pecho",VLOOKUP(A77,'Cotizador Compras'!$A$5:$J$21,10,FALSE),VLOOKUP(A77,'Cotizador Compras'!$A$5:$J$21,9,FALSE))))</f>
        <v>75000</v>
      </c>
      <c r="M77" s="138">
        <f t="shared" si="2"/>
        <v>75000</v>
      </c>
      <c r="N77" s="105">
        <f t="shared" si="3"/>
        <v>39700</v>
      </c>
      <c r="O77" s="139">
        <f t="shared" si="4"/>
        <v>0.4706666667</v>
      </c>
      <c r="P77" s="140" t="str">
        <f t="shared" si="5"/>
        <v>Camisa Boxy fit S Blanco</v>
      </c>
      <c r="Q77" s="145" t="s">
        <v>296</v>
      </c>
      <c r="R77" s="142">
        <f t="shared" si="6"/>
        <v>4</v>
      </c>
      <c r="T77" s="143">
        <f t="shared" si="7"/>
        <v>37000</v>
      </c>
      <c r="W77" s="144"/>
      <c r="X77" s="105">
        <f t="shared" si="8"/>
        <v>216000</v>
      </c>
      <c r="Y77" s="139">
        <f t="shared" si="9"/>
        <v>0.4486111111</v>
      </c>
      <c r="Z77" s="144"/>
      <c r="AA77" s="105">
        <f t="shared" si="10"/>
        <v>420000</v>
      </c>
      <c r="AB77" s="139">
        <f t="shared" si="11"/>
        <v>0.4328571429</v>
      </c>
      <c r="AC77" s="144">
        <f t="shared" si="12"/>
        <v>68000</v>
      </c>
      <c r="AD77" s="105">
        <f t="shared" si="13"/>
        <v>816000</v>
      </c>
      <c r="AE77" s="139">
        <f t="shared" si="14"/>
        <v>0.4161764706</v>
      </c>
    </row>
    <row r="78" ht="14.25" customHeight="1">
      <c r="A78" s="132" t="s">
        <v>626</v>
      </c>
      <c r="B78" s="132" t="s">
        <v>619</v>
      </c>
      <c r="C78" s="132" t="s">
        <v>620</v>
      </c>
      <c r="D78" s="132" t="s">
        <v>617</v>
      </c>
      <c r="E78" s="134">
        <v>2.0</v>
      </c>
      <c r="F78" s="147" t="s">
        <v>492</v>
      </c>
      <c r="G78" s="148">
        <f>IF(A78="","",VLOOKUP(A78,'Cotizador Compras'!$A$5:$J$21,3,FALSE))</f>
        <v>37000</v>
      </c>
      <c r="H78" s="105">
        <f>IF(OR(A78="",D78=""),"",IF(D78="Sin estampar",0,IF(D78="Pecho",VLOOKUP(A78,'Cotizador Compras'!$A$5:$J$21,4,FALSE),IF(D78="Espalda",VLOOKUP(A78,'Cotizador Compras'!$A$5:$J$21,5,FALSE),VLOOKUP(A78,'Cotizador Compras'!$A$5:$J$21,4,FALSE)+VLOOKUP(A78,'Cotizador Compras'!$A$5:$J$21,5,FALSE)))))</f>
        <v>0</v>
      </c>
      <c r="I78" s="105">
        <f>IF(A78="","",VLOOKUP(A78,'Cotizador Compras'!$A$5:$J$21,6,FALSE))</f>
        <v>1700</v>
      </c>
      <c r="J78" s="105">
        <f>IF(A78="","",VLOOKUP(A78,'Cotizador Compras'!$A$5:$J$21,7,FALSE))</f>
        <v>1000</v>
      </c>
      <c r="K78" s="137">
        <f t="shared" si="1"/>
        <v>79400</v>
      </c>
      <c r="L78" s="105">
        <f>IF(A78="","",IF(D78="Sin estampar",VLOOKUP(A78,'Cotizador Compras'!$A$5:$J$21,8,FALSE),IF(D78="Pecho",VLOOKUP(A78,'Cotizador Compras'!$A$5:$J$21,10,FALSE),VLOOKUP(A78,'Cotizador Compras'!$A$5:$J$21,9,FALSE))))</f>
        <v>75000</v>
      </c>
      <c r="M78" s="138">
        <f t="shared" si="2"/>
        <v>150000</v>
      </c>
      <c r="N78" s="105">
        <f t="shared" si="3"/>
        <v>39700</v>
      </c>
      <c r="O78" s="139">
        <f t="shared" si="4"/>
        <v>0.4706666667</v>
      </c>
      <c r="P78" s="140" t="str">
        <f t="shared" si="5"/>
        <v>Camisa Boxy fit M Blanco</v>
      </c>
      <c r="Q78" s="145" t="s">
        <v>298</v>
      </c>
      <c r="R78" s="142">
        <f t="shared" si="6"/>
        <v>2</v>
      </c>
      <c r="T78" s="143">
        <f t="shared" si="7"/>
        <v>74000</v>
      </c>
      <c r="W78" s="144"/>
      <c r="X78" s="105">
        <f t="shared" si="8"/>
        <v>216000</v>
      </c>
      <c r="Y78" s="139">
        <f t="shared" si="9"/>
        <v>0.4486111111</v>
      </c>
      <c r="Z78" s="144"/>
      <c r="AA78" s="105">
        <f t="shared" si="10"/>
        <v>420000</v>
      </c>
      <c r="AB78" s="139">
        <f t="shared" si="11"/>
        <v>0.4328571429</v>
      </c>
      <c r="AC78" s="144">
        <f t="shared" si="12"/>
        <v>136000</v>
      </c>
      <c r="AD78" s="105">
        <f t="shared" si="13"/>
        <v>816000</v>
      </c>
      <c r="AE78" s="139">
        <f t="shared" si="14"/>
        <v>0.4161764706</v>
      </c>
    </row>
    <row r="79" ht="14.25" customHeight="1">
      <c r="A79" s="132" t="s">
        <v>626</v>
      </c>
      <c r="B79" s="132" t="s">
        <v>623</v>
      </c>
      <c r="C79" s="132" t="s">
        <v>620</v>
      </c>
      <c r="D79" s="132" t="s">
        <v>617</v>
      </c>
      <c r="E79" s="134">
        <v>2.0</v>
      </c>
      <c r="F79" s="147" t="s">
        <v>492</v>
      </c>
      <c r="G79" s="148">
        <f>IF(A79="","",VLOOKUP(A79,'Cotizador Compras'!$A$5:$J$21,3,FALSE))</f>
        <v>37000</v>
      </c>
      <c r="H79" s="105">
        <f>IF(OR(A79="",D79=""),"",IF(D79="Sin estampar",0,IF(D79="Pecho",VLOOKUP(A79,'Cotizador Compras'!$A$5:$J$21,4,FALSE),IF(D79="Espalda",VLOOKUP(A79,'Cotizador Compras'!$A$5:$J$21,5,FALSE),VLOOKUP(A79,'Cotizador Compras'!$A$5:$J$21,4,FALSE)+VLOOKUP(A79,'Cotizador Compras'!$A$5:$J$21,5,FALSE)))))</f>
        <v>0</v>
      </c>
      <c r="I79" s="105">
        <f>IF(A79="","",VLOOKUP(A79,'Cotizador Compras'!$A$5:$J$21,6,FALSE))</f>
        <v>1700</v>
      </c>
      <c r="J79" s="105">
        <f>IF(A79="","",VLOOKUP(A79,'Cotizador Compras'!$A$5:$J$21,7,FALSE))</f>
        <v>1000</v>
      </c>
      <c r="K79" s="137">
        <f t="shared" si="1"/>
        <v>79400</v>
      </c>
      <c r="L79" s="105">
        <f>IF(A79="","",IF(D79="Sin estampar",VLOOKUP(A79,'Cotizador Compras'!$A$5:$J$21,8,FALSE),IF(D79="Pecho",VLOOKUP(A79,'Cotizador Compras'!$A$5:$J$21,10,FALSE),VLOOKUP(A79,'Cotizador Compras'!$A$5:$J$21,9,FALSE))))</f>
        <v>75000</v>
      </c>
      <c r="M79" s="138">
        <f t="shared" si="2"/>
        <v>150000</v>
      </c>
      <c r="N79" s="105">
        <f t="shared" si="3"/>
        <v>39700</v>
      </c>
      <c r="O79" s="139">
        <f t="shared" si="4"/>
        <v>0.4706666667</v>
      </c>
      <c r="P79" s="140" t="str">
        <f t="shared" si="5"/>
        <v>Camisa Boxy fit L Blanco</v>
      </c>
      <c r="Q79" s="145" t="s">
        <v>300</v>
      </c>
      <c r="R79" s="142">
        <f t="shared" si="6"/>
        <v>2</v>
      </c>
      <c r="T79" s="143">
        <f t="shared" si="7"/>
        <v>74000</v>
      </c>
      <c r="W79" s="144"/>
      <c r="X79" s="105">
        <f t="shared" si="8"/>
        <v>216000</v>
      </c>
      <c r="Y79" s="139">
        <f t="shared" si="9"/>
        <v>0.4486111111</v>
      </c>
      <c r="Z79" s="144"/>
      <c r="AA79" s="105">
        <f t="shared" si="10"/>
        <v>420000</v>
      </c>
      <c r="AB79" s="139">
        <f t="shared" si="11"/>
        <v>0.4328571429</v>
      </c>
      <c r="AC79" s="144">
        <f t="shared" si="12"/>
        <v>136000</v>
      </c>
      <c r="AD79" s="105">
        <f t="shared" si="13"/>
        <v>816000</v>
      </c>
      <c r="AE79" s="139">
        <f t="shared" si="14"/>
        <v>0.4161764706</v>
      </c>
    </row>
    <row r="80" ht="14.25" customHeight="1">
      <c r="A80" s="132" t="s">
        <v>626</v>
      </c>
      <c r="B80" s="132" t="s">
        <v>615</v>
      </c>
      <c r="C80" s="132" t="s">
        <v>624</v>
      </c>
      <c r="D80" s="132" t="s">
        <v>617</v>
      </c>
      <c r="E80" s="134">
        <v>1.0</v>
      </c>
      <c r="F80" s="147" t="s">
        <v>492</v>
      </c>
      <c r="G80" s="148">
        <f>IF(A80="","",VLOOKUP(A80,'Cotizador Compras'!$A$5:$J$21,3,FALSE))</f>
        <v>37000</v>
      </c>
      <c r="H80" s="105">
        <f>IF(OR(A80="",D80=""),"",IF(D80="Sin estampar",0,IF(D80="Pecho",VLOOKUP(A80,'Cotizador Compras'!$A$5:$J$21,4,FALSE),IF(D80="Espalda",VLOOKUP(A80,'Cotizador Compras'!$A$5:$J$21,5,FALSE),VLOOKUP(A80,'Cotizador Compras'!$A$5:$J$21,4,FALSE)+VLOOKUP(A80,'Cotizador Compras'!$A$5:$J$21,5,FALSE)))))</f>
        <v>0</v>
      </c>
      <c r="I80" s="105">
        <f>IF(A80="","",VLOOKUP(A80,'Cotizador Compras'!$A$5:$J$21,6,FALSE))</f>
        <v>1700</v>
      </c>
      <c r="J80" s="105">
        <f>IF(A80="","",VLOOKUP(A80,'Cotizador Compras'!$A$5:$J$21,7,FALSE))</f>
        <v>1000</v>
      </c>
      <c r="K80" s="137">
        <f t="shared" si="1"/>
        <v>39700</v>
      </c>
      <c r="L80" s="105">
        <f>IF(A80="","",IF(D80="Sin estampar",VLOOKUP(A80,'Cotizador Compras'!$A$5:$J$21,8,FALSE),IF(D80="Pecho",VLOOKUP(A80,'Cotizador Compras'!$A$5:$J$21,10,FALSE),VLOOKUP(A80,'Cotizador Compras'!$A$5:$J$21,9,FALSE))))</f>
        <v>75000</v>
      </c>
      <c r="M80" s="138">
        <f t="shared" si="2"/>
        <v>75000</v>
      </c>
      <c r="N80" s="105">
        <f t="shared" si="3"/>
        <v>39700</v>
      </c>
      <c r="O80" s="139">
        <f t="shared" si="4"/>
        <v>0.4706666667</v>
      </c>
      <c r="P80" s="140" t="str">
        <f t="shared" si="5"/>
        <v>Camisa Boxy fit S Plomo Plata</v>
      </c>
      <c r="Q80" s="145" t="s">
        <v>306</v>
      </c>
      <c r="R80" s="142">
        <f t="shared" si="6"/>
        <v>4</v>
      </c>
      <c r="T80" s="143">
        <f t="shared" si="7"/>
        <v>37000</v>
      </c>
      <c r="W80" s="144"/>
      <c r="X80" s="105">
        <f t="shared" si="8"/>
        <v>216000</v>
      </c>
      <c r="Y80" s="139">
        <f t="shared" si="9"/>
        <v>0.4486111111</v>
      </c>
      <c r="Z80" s="144"/>
      <c r="AA80" s="105">
        <f t="shared" si="10"/>
        <v>420000</v>
      </c>
      <c r="AB80" s="139">
        <f t="shared" si="11"/>
        <v>0.4328571429</v>
      </c>
      <c r="AC80" s="144">
        <f t="shared" si="12"/>
        <v>68000</v>
      </c>
      <c r="AD80" s="105">
        <f t="shared" si="13"/>
        <v>816000</v>
      </c>
      <c r="AE80" s="139">
        <f t="shared" si="14"/>
        <v>0.4161764706</v>
      </c>
    </row>
    <row r="81" ht="14.25" customHeight="1">
      <c r="A81" s="132" t="s">
        <v>626</v>
      </c>
      <c r="B81" s="132" t="s">
        <v>619</v>
      </c>
      <c r="C81" s="132" t="s">
        <v>624</v>
      </c>
      <c r="D81" s="132" t="s">
        <v>617</v>
      </c>
      <c r="E81" s="134">
        <v>2.0</v>
      </c>
      <c r="F81" s="147" t="s">
        <v>492</v>
      </c>
      <c r="G81" s="148">
        <f>IF(A81="","",VLOOKUP(A81,'Cotizador Compras'!$A$5:$J$21,3,FALSE))</f>
        <v>37000</v>
      </c>
      <c r="H81" s="105">
        <f>IF(OR(A81="",D81=""),"",IF(D81="Sin estampar",0,IF(D81="Pecho",VLOOKUP(A81,'Cotizador Compras'!$A$5:$J$21,4,FALSE),IF(D81="Espalda",VLOOKUP(A81,'Cotizador Compras'!$A$5:$J$21,5,FALSE),VLOOKUP(A81,'Cotizador Compras'!$A$5:$J$21,4,FALSE)+VLOOKUP(A81,'Cotizador Compras'!$A$5:$J$21,5,FALSE)))))</f>
        <v>0</v>
      </c>
      <c r="I81" s="105">
        <f>IF(A81="","",VLOOKUP(A81,'Cotizador Compras'!$A$5:$J$21,6,FALSE))</f>
        <v>1700</v>
      </c>
      <c r="J81" s="105">
        <f>IF(A81="","",VLOOKUP(A81,'Cotizador Compras'!$A$5:$J$21,7,FALSE))</f>
        <v>1000</v>
      </c>
      <c r="K81" s="137">
        <f t="shared" si="1"/>
        <v>79400</v>
      </c>
      <c r="L81" s="105">
        <f>IF(A81="","",IF(D81="Sin estampar",VLOOKUP(A81,'Cotizador Compras'!$A$5:$J$21,8,FALSE),IF(D81="Pecho",VLOOKUP(A81,'Cotizador Compras'!$A$5:$J$21,10,FALSE),VLOOKUP(A81,'Cotizador Compras'!$A$5:$J$21,9,FALSE))))</f>
        <v>75000</v>
      </c>
      <c r="M81" s="138">
        <f t="shared" si="2"/>
        <v>150000</v>
      </c>
      <c r="N81" s="105">
        <f t="shared" si="3"/>
        <v>39700</v>
      </c>
      <c r="O81" s="139">
        <f t="shared" si="4"/>
        <v>0.4706666667</v>
      </c>
      <c r="P81" s="140" t="str">
        <f t="shared" si="5"/>
        <v>Camisa Boxy fit M Plomo Plata</v>
      </c>
      <c r="Q81" s="145" t="s">
        <v>308</v>
      </c>
      <c r="R81" s="142">
        <f t="shared" si="6"/>
        <v>4</v>
      </c>
      <c r="T81" s="143">
        <f t="shared" si="7"/>
        <v>74000</v>
      </c>
      <c r="W81" s="144"/>
      <c r="X81" s="105">
        <f t="shared" si="8"/>
        <v>216000</v>
      </c>
      <c r="Y81" s="139">
        <f t="shared" si="9"/>
        <v>0.4486111111</v>
      </c>
      <c r="Z81" s="144"/>
      <c r="AA81" s="105">
        <f t="shared" si="10"/>
        <v>420000</v>
      </c>
      <c r="AB81" s="139">
        <f t="shared" si="11"/>
        <v>0.4328571429</v>
      </c>
      <c r="AC81" s="144">
        <f t="shared" si="12"/>
        <v>136000</v>
      </c>
      <c r="AD81" s="105">
        <f t="shared" si="13"/>
        <v>816000</v>
      </c>
      <c r="AE81" s="139">
        <f t="shared" si="14"/>
        <v>0.4161764706</v>
      </c>
    </row>
    <row r="82" ht="14.25" customHeight="1">
      <c r="A82" s="132" t="s">
        <v>626</v>
      </c>
      <c r="B82" s="132" t="s">
        <v>623</v>
      </c>
      <c r="C82" s="132" t="s">
        <v>624</v>
      </c>
      <c r="D82" s="132" t="s">
        <v>617</v>
      </c>
      <c r="E82" s="134">
        <v>2.0</v>
      </c>
      <c r="F82" s="147" t="s">
        <v>492</v>
      </c>
      <c r="G82" s="148">
        <f>IF(A82="","",VLOOKUP(A82,'Cotizador Compras'!$A$5:$J$21,3,FALSE))</f>
        <v>37000</v>
      </c>
      <c r="H82" s="105">
        <f>IF(OR(A82="",D82=""),"",IF(D82="Sin estampar",0,IF(D82="Pecho",VLOOKUP(A82,'Cotizador Compras'!$A$5:$J$21,4,FALSE),IF(D82="Espalda",VLOOKUP(A82,'Cotizador Compras'!$A$5:$J$21,5,FALSE),VLOOKUP(A82,'Cotizador Compras'!$A$5:$J$21,4,FALSE)+VLOOKUP(A82,'Cotizador Compras'!$A$5:$J$21,5,FALSE)))))</f>
        <v>0</v>
      </c>
      <c r="I82" s="105">
        <f>IF(A82="","",VLOOKUP(A82,'Cotizador Compras'!$A$5:$J$21,6,FALSE))</f>
        <v>1700</v>
      </c>
      <c r="J82" s="105">
        <f>IF(A82="","",VLOOKUP(A82,'Cotizador Compras'!$A$5:$J$21,7,FALSE))</f>
        <v>1000</v>
      </c>
      <c r="K82" s="137">
        <f t="shared" si="1"/>
        <v>79400</v>
      </c>
      <c r="L82" s="105">
        <f>IF(A82="","",IF(D82="Sin estampar",VLOOKUP(A82,'Cotizador Compras'!$A$5:$J$21,8,FALSE),IF(D82="Pecho",VLOOKUP(A82,'Cotizador Compras'!$A$5:$J$21,10,FALSE),VLOOKUP(A82,'Cotizador Compras'!$A$5:$J$21,9,FALSE))))</f>
        <v>75000</v>
      </c>
      <c r="M82" s="138">
        <f t="shared" si="2"/>
        <v>150000</v>
      </c>
      <c r="N82" s="105">
        <f t="shared" si="3"/>
        <v>39700</v>
      </c>
      <c r="O82" s="139">
        <f t="shared" si="4"/>
        <v>0.4706666667</v>
      </c>
      <c r="P82" s="140" t="str">
        <f t="shared" si="5"/>
        <v>Camisa Boxy fit L Plomo Plata</v>
      </c>
      <c r="Q82" s="145" t="s">
        <v>310</v>
      </c>
      <c r="R82" s="142">
        <f t="shared" si="6"/>
        <v>4</v>
      </c>
      <c r="T82" s="143">
        <f t="shared" si="7"/>
        <v>74000</v>
      </c>
      <c r="W82" s="144"/>
      <c r="X82" s="105">
        <f t="shared" si="8"/>
        <v>216000</v>
      </c>
      <c r="Y82" s="139">
        <f t="shared" si="9"/>
        <v>0.4486111111</v>
      </c>
      <c r="Z82" s="144"/>
      <c r="AA82" s="105">
        <f t="shared" si="10"/>
        <v>420000</v>
      </c>
      <c r="AB82" s="139">
        <f t="shared" si="11"/>
        <v>0.4328571429</v>
      </c>
      <c r="AC82" s="144">
        <f t="shared" si="12"/>
        <v>136000</v>
      </c>
      <c r="AD82" s="105">
        <f t="shared" si="13"/>
        <v>816000</v>
      </c>
      <c r="AE82" s="139">
        <f t="shared" si="14"/>
        <v>0.4161764706</v>
      </c>
    </row>
    <row r="83" ht="14.25" customHeight="1">
      <c r="A83" s="132" t="s">
        <v>626</v>
      </c>
      <c r="B83" s="132" t="s">
        <v>615</v>
      </c>
      <c r="C83" s="132" t="s">
        <v>616</v>
      </c>
      <c r="D83" s="132" t="s">
        <v>621</v>
      </c>
      <c r="E83" s="134">
        <v>1.0</v>
      </c>
      <c r="F83" s="147" t="s">
        <v>492</v>
      </c>
      <c r="G83" s="148">
        <f>IF(A83="","",VLOOKUP(A83,'Cotizador Compras'!$A$5:$J$21,3,FALSE))</f>
        <v>37000</v>
      </c>
      <c r="H83" s="105">
        <f>IF(OR(A83="",D83=""),"",IF(D83="Sin estampar",0,IF(D83="Pecho",VLOOKUP(A83,'Cotizador Compras'!$A$5:$J$21,4,FALSE),IF(D83="Espalda",VLOOKUP(A83,'Cotizador Compras'!$A$5:$J$21,5,FALSE),VLOOKUP(A83,'Cotizador Compras'!$A$5:$J$21,4,FALSE)+VLOOKUP(A83,'Cotizador Compras'!$A$5:$J$21,5,FALSE)))))</f>
        <v>3500</v>
      </c>
      <c r="I83" s="105">
        <f>IF(A83="","",VLOOKUP(A83,'Cotizador Compras'!$A$5:$J$21,6,FALSE))</f>
        <v>1700</v>
      </c>
      <c r="J83" s="105">
        <f>IF(A83="","",VLOOKUP(A83,'Cotizador Compras'!$A$5:$J$21,7,FALSE))</f>
        <v>1000</v>
      </c>
      <c r="K83" s="137">
        <f t="shared" si="1"/>
        <v>43200</v>
      </c>
      <c r="L83" s="105">
        <f>IF(A83="","",IF(D83="Sin estampar",VLOOKUP(A83,'Cotizador Compras'!$A$5:$J$21,8,FALSE),IF(D83="Pecho",VLOOKUP(A83,'Cotizador Compras'!$A$5:$J$21,10,FALSE),VLOOKUP(A83,'Cotizador Compras'!$A$5:$J$21,9,FALSE))))</f>
        <v>100000</v>
      </c>
      <c r="M83" s="138">
        <f t="shared" si="2"/>
        <v>100000</v>
      </c>
      <c r="N83" s="105">
        <f t="shared" si="3"/>
        <v>43200</v>
      </c>
      <c r="O83" s="139">
        <f t="shared" si="4"/>
        <v>0.568</v>
      </c>
      <c r="P83" s="140" t="str">
        <f t="shared" si="5"/>
        <v>Camisa Boxy fit S Negro</v>
      </c>
      <c r="Q83" s="145" t="s">
        <v>312</v>
      </c>
      <c r="R83" s="142">
        <f t="shared" si="6"/>
        <v>4</v>
      </c>
      <c r="T83" s="143">
        <f t="shared" si="7"/>
        <v>37000</v>
      </c>
      <c r="W83" s="144"/>
      <c r="X83" s="105">
        <f t="shared" si="8"/>
        <v>285000</v>
      </c>
      <c r="Y83" s="139">
        <f t="shared" si="9"/>
        <v>0.5452631579</v>
      </c>
      <c r="Z83" s="144"/>
      <c r="AA83" s="105">
        <f t="shared" si="10"/>
        <v>558000</v>
      </c>
      <c r="AB83" s="139">
        <f t="shared" si="11"/>
        <v>0.535483871</v>
      </c>
      <c r="AC83" s="144">
        <f t="shared" si="12"/>
        <v>90000</v>
      </c>
      <c r="AD83" s="105">
        <f t="shared" si="13"/>
        <v>1080000</v>
      </c>
      <c r="AE83" s="139">
        <f t="shared" si="14"/>
        <v>0.52</v>
      </c>
    </row>
    <row r="84" ht="14.25" customHeight="1">
      <c r="A84" s="132" t="s">
        <v>626</v>
      </c>
      <c r="B84" s="132" t="s">
        <v>619</v>
      </c>
      <c r="C84" s="132" t="s">
        <v>616</v>
      </c>
      <c r="D84" s="132" t="s">
        <v>621</v>
      </c>
      <c r="E84" s="134">
        <v>2.0</v>
      </c>
      <c r="F84" s="147" t="s">
        <v>492</v>
      </c>
      <c r="G84" s="148">
        <f>IF(A84="","",VLOOKUP(A84,'Cotizador Compras'!$A$5:$J$21,3,FALSE))</f>
        <v>37000</v>
      </c>
      <c r="H84" s="105">
        <f>IF(OR(A84="",D84=""),"",IF(D84="Sin estampar",0,IF(D84="Pecho",VLOOKUP(A84,'Cotizador Compras'!$A$5:$J$21,4,FALSE),IF(D84="Espalda",VLOOKUP(A84,'Cotizador Compras'!$A$5:$J$21,5,FALSE),VLOOKUP(A84,'Cotizador Compras'!$A$5:$J$21,4,FALSE)+VLOOKUP(A84,'Cotizador Compras'!$A$5:$J$21,5,FALSE)))))</f>
        <v>3500</v>
      </c>
      <c r="I84" s="105">
        <f>IF(A84="","",VLOOKUP(A84,'Cotizador Compras'!$A$5:$J$21,6,FALSE))</f>
        <v>1700</v>
      </c>
      <c r="J84" s="105">
        <f>IF(A84="","",VLOOKUP(A84,'Cotizador Compras'!$A$5:$J$21,7,FALSE))</f>
        <v>1000</v>
      </c>
      <c r="K84" s="137">
        <f t="shared" si="1"/>
        <v>86400</v>
      </c>
      <c r="L84" s="105">
        <f>IF(A84="","",IF(D84="Sin estampar",VLOOKUP(A84,'Cotizador Compras'!$A$5:$J$21,8,FALSE),IF(D84="Pecho",VLOOKUP(A84,'Cotizador Compras'!$A$5:$J$21,10,FALSE),VLOOKUP(A84,'Cotizador Compras'!$A$5:$J$21,9,FALSE))))</f>
        <v>100000</v>
      </c>
      <c r="M84" s="138">
        <f t="shared" si="2"/>
        <v>200000</v>
      </c>
      <c r="N84" s="105">
        <f t="shared" si="3"/>
        <v>43200</v>
      </c>
      <c r="O84" s="139">
        <f t="shared" si="4"/>
        <v>0.568</v>
      </c>
      <c r="P84" s="140" t="str">
        <f t="shared" si="5"/>
        <v>Camisa Boxy fit M Negro</v>
      </c>
      <c r="Q84" s="145" t="s">
        <v>314</v>
      </c>
      <c r="R84" s="142">
        <f t="shared" si="6"/>
        <v>4</v>
      </c>
      <c r="T84" s="143">
        <f t="shared" si="7"/>
        <v>74000</v>
      </c>
      <c r="W84" s="144"/>
      <c r="X84" s="105">
        <f t="shared" si="8"/>
        <v>285000</v>
      </c>
      <c r="Y84" s="139">
        <f t="shared" si="9"/>
        <v>0.5452631579</v>
      </c>
      <c r="Z84" s="144"/>
      <c r="AA84" s="105">
        <f t="shared" si="10"/>
        <v>558000</v>
      </c>
      <c r="AB84" s="139">
        <f t="shared" si="11"/>
        <v>0.535483871</v>
      </c>
      <c r="AC84" s="144">
        <f t="shared" si="12"/>
        <v>180000</v>
      </c>
      <c r="AD84" s="105">
        <f t="shared" si="13"/>
        <v>1080000</v>
      </c>
      <c r="AE84" s="139">
        <f t="shared" si="14"/>
        <v>0.52</v>
      </c>
    </row>
    <row r="85" ht="14.25" customHeight="1">
      <c r="A85" s="132" t="s">
        <v>626</v>
      </c>
      <c r="B85" s="132" t="s">
        <v>623</v>
      </c>
      <c r="C85" s="132" t="s">
        <v>616</v>
      </c>
      <c r="D85" s="132" t="s">
        <v>621</v>
      </c>
      <c r="E85" s="134">
        <v>2.0</v>
      </c>
      <c r="F85" s="147" t="s">
        <v>492</v>
      </c>
      <c r="G85" s="148">
        <f>IF(A85="","",VLOOKUP(A85,'Cotizador Compras'!$A$5:$J$21,3,FALSE))</f>
        <v>37000</v>
      </c>
      <c r="H85" s="105">
        <f>IF(OR(A85="",D85=""),"",IF(D85="Sin estampar",0,IF(D85="Pecho",VLOOKUP(A85,'Cotizador Compras'!$A$5:$J$21,4,FALSE),IF(D85="Espalda",VLOOKUP(A85,'Cotizador Compras'!$A$5:$J$21,5,FALSE),VLOOKUP(A85,'Cotizador Compras'!$A$5:$J$21,4,FALSE)+VLOOKUP(A85,'Cotizador Compras'!$A$5:$J$21,5,FALSE)))))</f>
        <v>3500</v>
      </c>
      <c r="I85" s="105">
        <f>IF(A85="","",VLOOKUP(A85,'Cotizador Compras'!$A$5:$J$21,6,FALSE))</f>
        <v>1700</v>
      </c>
      <c r="J85" s="105">
        <f>IF(A85="","",VLOOKUP(A85,'Cotizador Compras'!$A$5:$J$21,7,FALSE))</f>
        <v>1000</v>
      </c>
      <c r="K85" s="137">
        <f t="shared" si="1"/>
        <v>86400</v>
      </c>
      <c r="L85" s="105">
        <f>IF(A85="","",IF(D85="Sin estampar",VLOOKUP(A85,'Cotizador Compras'!$A$5:$J$21,8,FALSE),IF(D85="Pecho",VLOOKUP(A85,'Cotizador Compras'!$A$5:$J$21,10,FALSE),VLOOKUP(A85,'Cotizador Compras'!$A$5:$J$21,9,FALSE))))</f>
        <v>100000</v>
      </c>
      <c r="M85" s="138">
        <f t="shared" si="2"/>
        <v>200000</v>
      </c>
      <c r="N85" s="105">
        <f t="shared" si="3"/>
        <v>43200</v>
      </c>
      <c r="O85" s="139">
        <f t="shared" si="4"/>
        <v>0.568</v>
      </c>
      <c r="P85" s="140" t="str">
        <f t="shared" si="5"/>
        <v>Camisa Boxy fit L Negro</v>
      </c>
      <c r="Q85" s="145" t="s">
        <v>316</v>
      </c>
      <c r="R85" s="142">
        <f t="shared" si="6"/>
        <v>4</v>
      </c>
      <c r="T85" s="143">
        <f t="shared" si="7"/>
        <v>74000</v>
      </c>
      <c r="W85" s="144"/>
      <c r="X85" s="105">
        <f t="shared" si="8"/>
        <v>285000</v>
      </c>
      <c r="Y85" s="139">
        <f t="shared" si="9"/>
        <v>0.5452631579</v>
      </c>
      <c r="Z85" s="144"/>
      <c r="AA85" s="105">
        <f t="shared" si="10"/>
        <v>558000</v>
      </c>
      <c r="AB85" s="139">
        <f t="shared" si="11"/>
        <v>0.535483871</v>
      </c>
      <c r="AC85" s="144">
        <f t="shared" si="12"/>
        <v>180000</v>
      </c>
      <c r="AD85" s="105">
        <f t="shared" si="13"/>
        <v>1080000</v>
      </c>
      <c r="AE85" s="139">
        <f t="shared" si="14"/>
        <v>0.52</v>
      </c>
    </row>
    <row r="86" ht="14.25" customHeight="1">
      <c r="A86" s="132" t="s">
        <v>626</v>
      </c>
      <c r="B86" s="132" t="s">
        <v>615</v>
      </c>
      <c r="C86" s="132" t="s">
        <v>620</v>
      </c>
      <c r="D86" s="132" t="s">
        <v>621</v>
      </c>
      <c r="E86" s="134">
        <v>1.0</v>
      </c>
      <c r="F86" s="147" t="s">
        <v>492</v>
      </c>
      <c r="G86" s="148">
        <f>IF(A86="","",VLOOKUP(A86,'Cotizador Compras'!$A$5:$J$21,3,FALSE))</f>
        <v>37000</v>
      </c>
      <c r="H86" s="105">
        <f>IF(OR(A86="",D86=""),"",IF(D86="Sin estampar",0,IF(D86="Pecho",VLOOKUP(A86,'Cotizador Compras'!$A$5:$J$21,4,FALSE),IF(D86="Espalda",VLOOKUP(A86,'Cotizador Compras'!$A$5:$J$21,5,FALSE),VLOOKUP(A86,'Cotizador Compras'!$A$5:$J$21,4,FALSE)+VLOOKUP(A86,'Cotizador Compras'!$A$5:$J$21,5,FALSE)))))</f>
        <v>3500</v>
      </c>
      <c r="I86" s="105">
        <f>IF(A86="","",VLOOKUP(A86,'Cotizador Compras'!$A$5:$J$21,6,FALSE))</f>
        <v>1700</v>
      </c>
      <c r="J86" s="105">
        <f>IF(A86="","",VLOOKUP(A86,'Cotizador Compras'!$A$5:$J$21,7,FALSE))</f>
        <v>1000</v>
      </c>
      <c r="K86" s="137">
        <f t="shared" si="1"/>
        <v>43200</v>
      </c>
      <c r="L86" s="105">
        <f>IF(A86="","",IF(D86="Sin estampar",VLOOKUP(A86,'Cotizador Compras'!$A$5:$J$21,8,FALSE),IF(D86="Pecho",VLOOKUP(A86,'Cotizador Compras'!$A$5:$J$21,10,FALSE),VLOOKUP(A86,'Cotizador Compras'!$A$5:$J$21,9,FALSE))))</f>
        <v>100000</v>
      </c>
      <c r="M86" s="138">
        <f t="shared" si="2"/>
        <v>100000</v>
      </c>
      <c r="N86" s="105">
        <f t="shared" si="3"/>
        <v>43200</v>
      </c>
      <c r="O86" s="139">
        <f t="shared" si="4"/>
        <v>0.568</v>
      </c>
      <c r="P86" s="140" t="str">
        <f t="shared" si="5"/>
        <v>Camisa Boxy fit S Blanco</v>
      </c>
      <c r="Q86" s="145" t="s">
        <v>324</v>
      </c>
      <c r="R86" s="142">
        <f t="shared" si="6"/>
        <v>4</v>
      </c>
      <c r="T86" s="143">
        <f t="shared" si="7"/>
        <v>37000</v>
      </c>
      <c r="W86" s="144"/>
      <c r="X86" s="105">
        <f t="shared" si="8"/>
        <v>285000</v>
      </c>
      <c r="Y86" s="139">
        <f t="shared" si="9"/>
        <v>0.5452631579</v>
      </c>
      <c r="Z86" s="144"/>
      <c r="AA86" s="105">
        <f t="shared" si="10"/>
        <v>558000</v>
      </c>
      <c r="AB86" s="139">
        <f t="shared" si="11"/>
        <v>0.535483871</v>
      </c>
      <c r="AC86" s="144">
        <f t="shared" si="12"/>
        <v>90000</v>
      </c>
      <c r="AD86" s="105">
        <f t="shared" si="13"/>
        <v>1080000</v>
      </c>
      <c r="AE86" s="139">
        <f t="shared" si="14"/>
        <v>0.52</v>
      </c>
    </row>
    <row r="87" ht="14.25" customHeight="1">
      <c r="A87" s="132" t="s">
        <v>626</v>
      </c>
      <c r="B87" s="132" t="s">
        <v>619</v>
      </c>
      <c r="C87" s="132" t="s">
        <v>620</v>
      </c>
      <c r="D87" s="132" t="s">
        <v>621</v>
      </c>
      <c r="E87" s="134">
        <v>2.0</v>
      </c>
      <c r="F87" s="147" t="s">
        <v>492</v>
      </c>
      <c r="G87" s="148">
        <f>IF(A87="","",VLOOKUP(A87,'Cotizador Compras'!$A$5:$J$21,3,FALSE))</f>
        <v>37000</v>
      </c>
      <c r="H87" s="105">
        <f>IF(OR(A87="",D87=""),"",IF(D87="Sin estampar",0,IF(D87="Pecho",VLOOKUP(A87,'Cotizador Compras'!$A$5:$J$21,4,FALSE),IF(D87="Espalda",VLOOKUP(A87,'Cotizador Compras'!$A$5:$J$21,5,FALSE),VLOOKUP(A87,'Cotizador Compras'!$A$5:$J$21,4,FALSE)+VLOOKUP(A87,'Cotizador Compras'!$A$5:$J$21,5,FALSE)))))</f>
        <v>3500</v>
      </c>
      <c r="I87" s="105">
        <f>IF(A87="","",VLOOKUP(A87,'Cotizador Compras'!$A$5:$J$21,6,FALSE))</f>
        <v>1700</v>
      </c>
      <c r="J87" s="105">
        <f>IF(A87="","",VLOOKUP(A87,'Cotizador Compras'!$A$5:$J$21,7,FALSE))</f>
        <v>1000</v>
      </c>
      <c r="K87" s="137">
        <f t="shared" si="1"/>
        <v>86400</v>
      </c>
      <c r="L87" s="105">
        <f>IF(A87="","",IF(D87="Sin estampar",VLOOKUP(A87,'Cotizador Compras'!$A$5:$J$21,8,FALSE),IF(D87="Pecho",VLOOKUP(A87,'Cotizador Compras'!$A$5:$J$21,10,FALSE),VLOOKUP(A87,'Cotizador Compras'!$A$5:$J$21,9,FALSE))))</f>
        <v>100000</v>
      </c>
      <c r="M87" s="138">
        <f t="shared" si="2"/>
        <v>200000</v>
      </c>
      <c r="N87" s="105">
        <f t="shared" si="3"/>
        <v>43200</v>
      </c>
      <c r="O87" s="139">
        <f t="shared" si="4"/>
        <v>0.568</v>
      </c>
      <c r="P87" s="140" t="str">
        <f t="shared" si="5"/>
        <v>Camisa Boxy fit M Blanco</v>
      </c>
      <c r="Q87" s="145" t="s">
        <v>326</v>
      </c>
      <c r="R87" s="142">
        <f t="shared" si="6"/>
        <v>4</v>
      </c>
      <c r="T87" s="143">
        <f t="shared" si="7"/>
        <v>74000</v>
      </c>
      <c r="W87" s="144"/>
      <c r="X87" s="105">
        <f t="shared" si="8"/>
        <v>285000</v>
      </c>
      <c r="Y87" s="139">
        <f t="shared" si="9"/>
        <v>0.5452631579</v>
      </c>
      <c r="Z87" s="144"/>
      <c r="AA87" s="105">
        <f t="shared" si="10"/>
        <v>558000</v>
      </c>
      <c r="AB87" s="139">
        <f t="shared" si="11"/>
        <v>0.535483871</v>
      </c>
      <c r="AC87" s="144">
        <f t="shared" si="12"/>
        <v>180000</v>
      </c>
      <c r="AD87" s="105">
        <f t="shared" si="13"/>
        <v>1080000</v>
      </c>
      <c r="AE87" s="139">
        <f t="shared" si="14"/>
        <v>0.52</v>
      </c>
    </row>
    <row r="88" ht="14.25" customHeight="1">
      <c r="A88" s="132" t="s">
        <v>626</v>
      </c>
      <c r="B88" s="132" t="s">
        <v>623</v>
      </c>
      <c r="C88" s="132" t="s">
        <v>620</v>
      </c>
      <c r="D88" s="132" t="s">
        <v>621</v>
      </c>
      <c r="E88" s="134">
        <v>2.0</v>
      </c>
      <c r="F88" s="147" t="s">
        <v>492</v>
      </c>
      <c r="G88" s="148">
        <f>IF(A88="","",VLOOKUP(A88,'Cotizador Compras'!$A$5:$J$21,3,FALSE))</f>
        <v>37000</v>
      </c>
      <c r="H88" s="105">
        <f>IF(OR(A88="",D88=""),"",IF(D88="Sin estampar",0,IF(D88="Pecho",VLOOKUP(A88,'Cotizador Compras'!$A$5:$J$21,4,FALSE),IF(D88="Espalda",VLOOKUP(A88,'Cotizador Compras'!$A$5:$J$21,5,FALSE),VLOOKUP(A88,'Cotizador Compras'!$A$5:$J$21,4,FALSE)+VLOOKUP(A88,'Cotizador Compras'!$A$5:$J$21,5,FALSE)))))</f>
        <v>3500</v>
      </c>
      <c r="I88" s="105">
        <f>IF(A88="","",VLOOKUP(A88,'Cotizador Compras'!$A$5:$J$21,6,FALSE))</f>
        <v>1700</v>
      </c>
      <c r="J88" s="105">
        <f>IF(A88="","",VLOOKUP(A88,'Cotizador Compras'!$A$5:$J$21,7,FALSE))</f>
        <v>1000</v>
      </c>
      <c r="K88" s="137">
        <f t="shared" si="1"/>
        <v>86400</v>
      </c>
      <c r="L88" s="105">
        <f>IF(A88="","",IF(D88="Sin estampar",VLOOKUP(A88,'Cotizador Compras'!$A$5:$J$21,8,FALSE),IF(D88="Pecho",VLOOKUP(A88,'Cotizador Compras'!$A$5:$J$21,10,FALSE),VLOOKUP(A88,'Cotizador Compras'!$A$5:$J$21,9,FALSE))))</f>
        <v>100000</v>
      </c>
      <c r="M88" s="138">
        <f t="shared" si="2"/>
        <v>200000</v>
      </c>
      <c r="N88" s="105">
        <f t="shared" si="3"/>
        <v>43200</v>
      </c>
      <c r="O88" s="139">
        <f t="shared" si="4"/>
        <v>0.568</v>
      </c>
      <c r="P88" s="140" t="str">
        <f t="shared" si="5"/>
        <v>Camisa Boxy fit L Blanco</v>
      </c>
      <c r="Q88" s="145" t="s">
        <v>328</v>
      </c>
      <c r="R88" s="142">
        <f t="shared" si="6"/>
        <v>4</v>
      </c>
      <c r="T88" s="143">
        <f t="shared" si="7"/>
        <v>74000</v>
      </c>
      <c r="W88" s="144"/>
      <c r="X88" s="105">
        <f t="shared" si="8"/>
        <v>285000</v>
      </c>
      <c r="Y88" s="139">
        <f t="shared" si="9"/>
        <v>0.5452631579</v>
      </c>
      <c r="Z88" s="144"/>
      <c r="AA88" s="105">
        <f t="shared" si="10"/>
        <v>558000</v>
      </c>
      <c r="AB88" s="139">
        <f t="shared" si="11"/>
        <v>0.535483871</v>
      </c>
      <c r="AC88" s="144">
        <f t="shared" si="12"/>
        <v>180000</v>
      </c>
      <c r="AD88" s="105">
        <f t="shared" si="13"/>
        <v>1080000</v>
      </c>
      <c r="AE88" s="139">
        <f t="shared" si="14"/>
        <v>0.52</v>
      </c>
    </row>
    <row r="89" ht="14.25" customHeight="1">
      <c r="A89" s="132" t="s">
        <v>626</v>
      </c>
      <c r="B89" s="132" t="s">
        <v>615</v>
      </c>
      <c r="C89" s="132" t="s">
        <v>624</v>
      </c>
      <c r="D89" s="132" t="s">
        <v>621</v>
      </c>
      <c r="E89" s="134">
        <v>1.0</v>
      </c>
      <c r="F89" s="147" t="s">
        <v>492</v>
      </c>
      <c r="G89" s="148">
        <f>IF(A89="","",VLOOKUP(A89,'Cotizador Compras'!$A$5:$J$21,3,FALSE))</f>
        <v>37000</v>
      </c>
      <c r="H89" s="105">
        <f>IF(OR(A89="",D89=""),"",IF(D89="Sin estampar",0,IF(D89="Pecho",VLOOKUP(A89,'Cotizador Compras'!$A$5:$J$21,4,FALSE),IF(D89="Espalda",VLOOKUP(A89,'Cotizador Compras'!$A$5:$J$21,5,FALSE),VLOOKUP(A89,'Cotizador Compras'!$A$5:$J$21,4,FALSE)+VLOOKUP(A89,'Cotizador Compras'!$A$5:$J$21,5,FALSE)))))</f>
        <v>3500</v>
      </c>
      <c r="I89" s="105">
        <f>IF(A89="","",VLOOKUP(A89,'Cotizador Compras'!$A$5:$J$21,6,FALSE))</f>
        <v>1700</v>
      </c>
      <c r="J89" s="105">
        <f>IF(A89="","",VLOOKUP(A89,'Cotizador Compras'!$A$5:$J$21,7,FALSE))</f>
        <v>1000</v>
      </c>
      <c r="K89" s="137">
        <f t="shared" si="1"/>
        <v>43200</v>
      </c>
      <c r="L89" s="105">
        <f>IF(A89="","",IF(D89="Sin estampar",VLOOKUP(A89,'Cotizador Compras'!$A$5:$J$21,8,FALSE),IF(D89="Pecho",VLOOKUP(A89,'Cotizador Compras'!$A$5:$J$21,10,FALSE),VLOOKUP(A89,'Cotizador Compras'!$A$5:$J$21,9,FALSE))))</f>
        <v>100000</v>
      </c>
      <c r="M89" s="138">
        <f t="shared" si="2"/>
        <v>100000</v>
      </c>
      <c r="N89" s="105">
        <f t="shared" si="3"/>
        <v>43200</v>
      </c>
      <c r="O89" s="139">
        <f t="shared" si="4"/>
        <v>0.568</v>
      </c>
      <c r="P89" s="140" t="str">
        <f t="shared" si="5"/>
        <v>Camisa Boxy fit S Plomo Plata</v>
      </c>
      <c r="Q89" s="145" t="s">
        <v>670</v>
      </c>
      <c r="R89" s="142">
        <f t="shared" si="6"/>
        <v>4</v>
      </c>
      <c r="T89" s="143">
        <f t="shared" si="7"/>
        <v>37000</v>
      </c>
      <c r="W89" s="144"/>
      <c r="X89" s="105">
        <f t="shared" si="8"/>
        <v>285000</v>
      </c>
      <c r="Y89" s="139">
        <f t="shared" si="9"/>
        <v>0.5452631579</v>
      </c>
      <c r="Z89" s="144"/>
      <c r="AA89" s="105">
        <f t="shared" si="10"/>
        <v>558000</v>
      </c>
      <c r="AB89" s="139">
        <f t="shared" si="11"/>
        <v>0.535483871</v>
      </c>
      <c r="AC89" s="144">
        <f t="shared" si="12"/>
        <v>90000</v>
      </c>
      <c r="AD89" s="105">
        <f t="shared" si="13"/>
        <v>1080000</v>
      </c>
      <c r="AE89" s="139">
        <f t="shared" si="14"/>
        <v>0.52</v>
      </c>
    </row>
    <row r="90" ht="14.25" customHeight="1">
      <c r="A90" s="132" t="s">
        <v>626</v>
      </c>
      <c r="B90" s="132" t="s">
        <v>619</v>
      </c>
      <c r="C90" s="132" t="s">
        <v>624</v>
      </c>
      <c r="D90" s="132" t="s">
        <v>621</v>
      </c>
      <c r="E90" s="134">
        <v>2.0</v>
      </c>
      <c r="F90" s="147" t="s">
        <v>492</v>
      </c>
      <c r="G90" s="148">
        <f>IF(A90="","",VLOOKUP(A90,'Cotizador Compras'!$A$5:$J$21,3,FALSE))</f>
        <v>37000</v>
      </c>
      <c r="H90" s="105">
        <f>IF(OR(A90="",D90=""),"",IF(D90="Sin estampar",0,IF(D90="Pecho",VLOOKUP(A90,'Cotizador Compras'!$A$5:$J$21,4,FALSE),IF(D90="Espalda",VLOOKUP(A90,'Cotizador Compras'!$A$5:$J$21,5,FALSE),VLOOKUP(A90,'Cotizador Compras'!$A$5:$J$21,4,FALSE)+VLOOKUP(A90,'Cotizador Compras'!$A$5:$J$21,5,FALSE)))))</f>
        <v>3500</v>
      </c>
      <c r="I90" s="105">
        <f>IF(A90="","",VLOOKUP(A90,'Cotizador Compras'!$A$5:$J$21,6,FALSE))</f>
        <v>1700</v>
      </c>
      <c r="J90" s="105">
        <f>IF(A90="","",VLOOKUP(A90,'Cotizador Compras'!$A$5:$J$21,7,FALSE))</f>
        <v>1000</v>
      </c>
      <c r="K90" s="137">
        <f t="shared" si="1"/>
        <v>86400</v>
      </c>
      <c r="L90" s="105">
        <f>IF(A90="","",IF(D90="Sin estampar",VLOOKUP(A90,'Cotizador Compras'!$A$5:$J$21,8,FALSE),IF(D90="Pecho",VLOOKUP(A90,'Cotizador Compras'!$A$5:$J$21,10,FALSE),VLOOKUP(A90,'Cotizador Compras'!$A$5:$J$21,9,FALSE))))</f>
        <v>100000</v>
      </c>
      <c r="M90" s="138">
        <f t="shared" si="2"/>
        <v>200000</v>
      </c>
      <c r="N90" s="105">
        <f t="shared" si="3"/>
        <v>43200</v>
      </c>
      <c r="O90" s="139">
        <f t="shared" si="4"/>
        <v>0.568</v>
      </c>
      <c r="P90" s="140" t="str">
        <f t="shared" si="5"/>
        <v>Camisa Boxy fit M Plomo Plata</v>
      </c>
      <c r="Q90" s="145" t="s">
        <v>671</v>
      </c>
      <c r="R90" s="142">
        <f t="shared" si="6"/>
        <v>4</v>
      </c>
      <c r="T90" s="143">
        <f t="shared" si="7"/>
        <v>74000</v>
      </c>
      <c r="W90" s="144"/>
      <c r="X90" s="105">
        <f t="shared" si="8"/>
        <v>285000</v>
      </c>
      <c r="Y90" s="139">
        <f t="shared" si="9"/>
        <v>0.5452631579</v>
      </c>
      <c r="Z90" s="144"/>
      <c r="AA90" s="105">
        <f t="shared" si="10"/>
        <v>558000</v>
      </c>
      <c r="AB90" s="139">
        <f t="shared" si="11"/>
        <v>0.535483871</v>
      </c>
      <c r="AC90" s="144">
        <f t="shared" si="12"/>
        <v>180000</v>
      </c>
      <c r="AD90" s="105">
        <f t="shared" si="13"/>
        <v>1080000</v>
      </c>
      <c r="AE90" s="139">
        <f t="shared" si="14"/>
        <v>0.52</v>
      </c>
    </row>
    <row r="91" ht="14.25" customHeight="1">
      <c r="A91" s="132" t="s">
        <v>626</v>
      </c>
      <c r="B91" s="132" t="s">
        <v>623</v>
      </c>
      <c r="C91" s="132" t="s">
        <v>624</v>
      </c>
      <c r="D91" s="132" t="s">
        <v>621</v>
      </c>
      <c r="E91" s="134">
        <v>2.0</v>
      </c>
      <c r="F91" s="147" t="s">
        <v>492</v>
      </c>
      <c r="G91" s="148">
        <f>IF(A91="","",VLOOKUP(A91,'Cotizador Compras'!$A$5:$J$21,3,FALSE))</f>
        <v>37000</v>
      </c>
      <c r="H91" s="105">
        <f>IF(OR(A91="",D91=""),"",IF(D91="Sin estampar",0,IF(D91="Pecho",VLOOKUP(A91,'Cotizador Compras'!$A$5:$J$21,4,FALSE),IF(D91="Espalda",VLOOKUP(A91,'Cotizador Compras'!$A$5:$J$21,5,FALSE),VLOOKUP(A91,'Cotizador Compras'!$A$5:$J$21,4,FALSE)+VLOOKUP(A91,'Cotizador Compras'!$A$5:$J$21,5,FALSE)))))</f>
        <v>3500</v>
      </c>
      <c r="I91" s="105">
        <f>IF(A91="","",VLOOKUP(A91,'Cotizador Compras'!$A$5:$J$21,6,FALSE))</f>
        <v>1700</v>
      </c>
      <c r="J91" s="105">
        <f>IF(A91="","",VLOOKUP(A91,'Cotizador Compras'!$A$5:$J$21,7,FALSE))</f>
        <v>1000</v>
      </c>
      <c r="K91" s="137">
        <f t="shared" si="1"/>
        <v>86400</v>
      </c>
      <c r="L91" s="105">
        <f>IF(A91="","",IF(D91="Sin estampar",VLOOKUP(A91,'Cotizador Compras'!$A$5:$J$21,8,FALSE),IF(D91="Pecho",VLOOKUP(A91,'Cotizador Compras'!$A$5:$J$21,10,FALSE),VLOOKUP(A91,'Cotizador Compras'!$A$5:$J$21,9,FALSE))))</f>
        <v>100000</v>
      </c>
      <c r="M91" s="138">
        <f t="shared" si="2"/>
        <v>200000</v>
      </c>
      <c r="N91" s="105">
        <f t="shared" si="3"/>
        <v>43200</v>
      </c>
      <c r="O91" s="139">
        <f t="shared" si="4"/>
        <v>0.568</v>
      </c>
      <c r="P91" s="140" t="str">
        <f t="shared" si="5"/>
        <v>Camisa Boxy fit L Plomo Plata</v>
      </c>
      <c r="Q91" s="145" t="s">
        <v>672</v>
      </c>
      <c r="R91" s="142">
        <f t="shared" si="6"/>
        <v>4</v>
      </c>
      <c r="T91" s="143">
        <f t="shared" si="7"/>
        <v>74000</v>
      </c>
      <c r="W91" s="144"/>
      <c r="X91" s="105">
        <f t="shared" si="8"/>
        <v>285000</v>
      </c>
      <c r="Y91" s="139">
        <f t="shared" si="9"/>
        <v>0.5452631579</v>
      </c>
      <c r="Z91" s="144"/>
      <c r="AA91" s="105">
        <f t="shared" si="10"/>
        <v>558000</v>
      </c>
      <c r="AB91" s="139">
        <f t="shared" si="11"/>
        <v>0.535483871</v>
      </c>
      <c r="AC91" s="144">
        <f t="shared" si="12"/>
        <v>180000</v>
      </c>
      <c r="AD91" s="105">
        <f t="shared" si="13"/>
        <v>1080000</v>
      </c>
      <c r="AE91" s="139">
        <f t="shared" si="14"/>
        <v>0.52</v>
      </c>
    </row>
    <row r="92" ht="14.25" customHeight="1">
      <c r="A92" s="133" t="s">
        <v>634</v>
      </c>
      <c r="B92" s="133" t="s">
        <v>623</v>
      </c>
      <c r="C92" s="133" t="s">
        <v>636</v>
      </c>
      <c r="D92" s="133" t="s">
        <v>617</v>
      </c>
      <c r="E92" s="134">
        <v>6.0</v>
      </c>
      <c r="F92" s="149" t="s">
        <v>492</v>
      </c>
      <c r="G92" s="148">
        <f>IF(A92="","",VLOOKUP(A92,'Cotizador Compras'!$A$5:$J$21,3,FALSE))</f>
        <v>120000</v>
      </c>
      <c r="H92" s="105">
        <f>IF(OR(A92="",D92=""),"",IF(D92="Sin estampar",0,IF(D92="Pecho",VLOOKUP(A92,'Cotizador Compras'!$A$5:$J$21,4,FALSE),IF(D92="Espalda",VLOOKUP(A92,'Cotizador Compras'!$A$5:$J$21,5,FALSE),VLOOKUP(A92,'Cotizador Compras'!$A$5:$J$21,4,FALSE)+VLOOKUP(A92,'Cotizador Compras'!$A$5:$J$21,5,FALSE)))))</f>
        <v>0</v>
      </c>
      <c r="I92" s="105">
        <f>IF(A92="","",VLOOKUP(A92,'Cotizador Compras'!$A$5:$J$21,6,FALSE))</f>
        <v>1700</v>
      </c>
      <c r="J92" s="105">
        <f>IF(A92="","",VLOOKUP(A92,'Cotizador Compras'!$A$5:$J$21,7,FALSE))</f>
        <v>1000</v>
      </c>
      <c r="K92" s="137">
        <f t="shared" si="1"/>
        <v>736200</v>
      </c>
      <c r="L92" s="105">
        <f>IF(A92="","",IF(D92="Sin estampar",VLOOKUP(A92,'Cotizador Compras'!$A$5:$J$21,8,FALSE),IF(D92="Pecho",VLOOKUP(A92,'Cotizador Compras'!$A$5:$J$21,10,FALSE),VLOOKUP(A92,'Cotizador Compras'!$A$5:$J$21,9,FALSE))))</f>
        <v>200000</v>
      </c>
      <c r="M92" s="138">
        <f t="shared" si="2"/>
        <v>1200000</v>
      </c>
      <c r="N92" s="105">
        <f t="shared" si="3"/>
        <v>122700</v>
      </c>
      <c r="O92" s="139">
        <f t="shared" si="4"/>
        <v>0.3865</v>
      </c>
      <c r="P92" s="140" t="str">
        <f t="shared" si="5"/>
        <v>Hoodie L Acid Wash Gris</v>
      </c>
      <c r="Q92" s="145" t="s">
        <v>673</v>
      </c>
      <c r="R92" s="142">
        <f t="shared" si="6"/>
        <v>4</v>
      </c>
      <c r="T92" s="143">
        <f t="shared" si="7"/>
        <v>720000</v>
      </c>
      <c r="W92" s="144"/>
      <c r="X92" s="105">
        <f t="shared" si="8"/>
        <v>570000</v>
      </c>
      <c r="Y92" s="139">
        <f t="shared" si="9"/>
        <v>0.3542105263</v>
      </c>
      <c r="Z92" s="144"/>
      <c r="AA92" s="105">
        <f t="shared" si="10"/>
        <v>1110000</v>
      </c>
      <c r="AB92" s="139">
        <f t="shared" si="11"/>
        <v>0.3367567568</v>
      </c>
      <c r="AC92" s="144">
        <f t="shared" si="12"/>
        <v>1080000</v>
      </c>
      <c r="AD92" s="105">
        <f t="shared" si="13"/>
        <v>2160000</v>
      </c>
      <c r="AE92" s="139">
        <f t="shared" si="14"/>
        <v>0.3183333333</v>
      </c>
    </row>
    <row r="93" ht="14.25" customHeight="1">
      <c r="A93" s="133" t="s">
        <v>634</v>
      </c>
      <c r="B93" s="133" t="s">
        <v>623</v>
      </c>
      <c r="C93" s="133" t="s">
        <v>636</v>
      </c>
      <c r="D93" s="132" t="s">
        <v>621</v>
      </c>
      <c r="E93" s="134">
        <v>6.0</v>
      </c>
      <c r="F93" s="149" t="s">
        <v>492</v>
      </c>
      <c r="G93" s="148">
        <f>IF(A93="","",VLOOKUP(A93,'Cotizador Compras'!$A$5:$J$21,3,FALSE))</f>
        <v>120000</v>
      </c>
      <c r="H93" s="150">
        <f>IF(OR(A93="",D93=""),"",IF(D93="Sin estampar",0,IF(D93="Pecho",VLOOKUP(A93,'Cotizador Compras'!$A$5:$J$21,4,FALSE),IF(D93="Espalda",VLOOKUP(A93,'Cotizador Compras'!$A$5:$J$21,5,FALSE),VLOOKUP(A93,'Cotizador Compras'!$A$5:$J$21,4,FALSE)+VLOOKUP(A93,'Cotizador Compras'!$A$5:$J$21,5,FALSE)))))</f>
        <v>3500</v>
      </c>
      <c r="I93" s="105">
        <f>IF(A93="","",VLOOKUP(A93,'Cotizador Compras'!$A$5:$J$21,6,FALSE))</f>
        <v>1700</v>
      </c>
      <c r="J93" s="105">
        <f>IF(A93="","",VLOOKUP(A93,'Cotizador Compras'!$A$5:$J$21,7,FALSE))</f>
        <v>1000</v>
      </c>
      <c r="K93" s="137">
        <f t="shared" si="1"/>
        <v>757200</v>
      </c>
      <c r="L93" s="105">
        <f>IF(A93="","",IF(D93="Sin estampar",VLOOKUP(A93,'Cotizador Compras'!$A$5:$J$21,8,FALSE),IF(D93="Pecho",VLOOKUP(A93,'Cotizador Compras'!$A$5:$J$21,10,FALSE),VLOOKUP(A93,'Cotizador Compras'!$A$5:$J$21,9,FALSE))))</f>
        <v>230000</v>
      </c>
      <c r="M93" s="138">
        <f t="shared" si="2"/>
        <v>1380000</v>
      </c>
      <c r="N93" s="105">
        <f t="shared" si="3"/>
        <v>126200</v>
      </c>
      <c r="O93" s="139">
        <f t="shared" si="4"/>
        <v>0.4513043478</v>
      </c>
      <c r="P93" s="140" t="str">
        <f t="shared" si="5"/>
        <v>Hoodie L Acid Wash Gris</v>
      </c>
      <c r="Q93" s="145" t="s">
        <v>674</v>
      </c>
      <c r="R93" s="142">
        <f t="shared" si="6"/>
        <v>4</v>
      </c>
      <c r="T93" s="143">
        <f t="shared" si="7"/>
        <v>720000</v>
      </c>
      <c r="W93" s="144"/>
      <c r="X93" s="105">
        <f t="shared" si="8"/>
        <v>657000</v>
      </c>
      <c r="Y93" s="139">
        <f t="shared" si="9"/>
        <v>0.4237442922</v>
      </c>
      <c r="Z93" s="144"/>
      <c r="AA93" s="105">
        <f t="shared" si="10"/>
        <v>1278000</v>
      </c>
      <c r="AB93" s="139">
        <f t="shared" si="11"/>
        <v>0.4075117371</v>
      </c>
      <c r="AC93" s="144">
        <f t="shared" si="12"/>
        <v>1242000</v>
      </c>
      <c r="AD93" s="105">
        <f t="shared" si="13"/>
        <v>2484000</v>
      </c>
      <c r="AE93" s="139">
        <f t="shared" si="14"/>
        <v>0.3903381643</v>
      </c>
    </row>
    <row r="94" ht="14.25" customHeight="1">
      <c r="A94" s="133" t="s">
        <v>630</v>
      </c>
      <c r="B94" s="132" t="s">
        <v>615</v>
      </c>
      <c r="C94" s="133" t="s">
        <v>616</v>
      </c>
      <c r="D94" s="133" t="s">
        <v>617</v>
      </c>
      <c r="E94" s="134">
        <v>1.0</v>
      </c>
      <c r="F94" s="135" t="str">
        <f>IF(A94="","",VLOOKUP(A94,'Cotizador Compras'!$A$5:$J$21,2,FALSE))</f>
        <v>YOUR BRAND</v>
      </c>
      <c r="G94" s="136">
        <f>IF(A94="","",VLOOKUP(A94,'Cotizador Compras'!$A$5:$J$21,3,FALSE))</f>
        <v>90000</v>
      </c>
      <c r="H94" s="105">
        <f>IF(OR(A94="",D94=""),"",IF(D94="Sin estampar",0,IF(D94="Pecho",VLOOKUP(A94,'Cotizador Compras'!$A$5:$J$21,4,FALSE),IF(D94="Espalda",VLOOKUP(A94,'Cotizador Compras'!$A$5:$J$21,5,FALSE),VLOOKUP(A94,'Cotizador Compras'!$A$5:$J$21,4,FALSE)+VLOOKUP(A94,'Cotizador Compras'!$A$5:$J$21,5,FALSE)))))</f>
        <v>0</v>
      </c>
      <c r="I94" s="105">
        <f>IF(A94="","",VLOOKUP(A94,'Cotizador Compras'!$A$5:$J$21,6,FALSE))</f>
        <v>1700</v>
      </c>
      <c r="J94" s="105">
        <f>IF(A94="","",VLOOKUP(A94,'Cotizador Compras'!$A$5:$J$21,7,FALSE))</f>
        <v>1000</v>
      </c>
      <c r="K94" s="137">
        <f t="shared" si="1"/>
        <v>92700</v>
      </c>
      <c r="L94" s="105">
        <f>IF(A94="","",IF(D94="Sin estampar",VLOOKUP(A94,'Cotizador Compras'!$A$5:$J$21,8,FALSE),IF(D94="Pecho",VLOOKUP(A94,'Cotizador Compras'!$A$5:$J$21,10,FALSE),VLOOKUP(A94,'Cotizador Compras'!$A$5:$J$21,9,FALSE))))</f>
        <v>200000</v>
      </c>
      <c r="M94" s="138">
        <f t="shared" si="2"/>
        <v>200000</v>
      </c>
      <c r="N94" s="105">
        <f t="shared" si="3"/>
        <v>92700</v>
      </c>
      <c r="O94" s="139">
        <f t="shared" si="4"/>
        <v>0.5365</v>
      </c>
      <c r="P94" s="140" t="str">
        <f t="shared" si="5"/>
        <v>Chompa Capucha S Negro</v>
      </c>
      <c r="Q94" s="145" t="s">
        <v>675</v>
      </c>
      <c r="R94" s="142">
        <f t="shared" si="6"/>
        <v>4</v>
      </c>
      <c r="T94" s="143">
        <f t="shared" si="7"/>
        <v>90000</v>
      </c>
      <c r="W94" s="144"/>
      <c r="X94" s="105">
        <f t="shared" si="8"/>
        <v>570000</v>
      </c>
      <c r="Y94" s="139">
        <f t="shared" si="9"/>
        <v>0.5121052632</v>
      </c>
      <c r="Z94" s="144"/>
      <c r="AA94" s="105">
        <f t="shared" si="10"/>
        <v>1110000</v>
      </c>
      <c r="AB94" s="139">
        <f t="shared" si="11"/>
        <v>0.4989189189</v>
      </c>
      <c r="AC94" s="144">
        <f t="shared" si="12"/>
        <v>180000</v>
      </c>
      <c r="AD94" s="105">
        <f t="shared" si="13"/>
        <v>2160000</v>
      </c>
      <c r="AE94" s="139">
        <f t="shared" si="14"/>
        <v>0.485</v>
      </c>
    </row>
    <row r="95" ht="14.25" customHeight="1">
      <c r="A95" s="133" t="s">
        <v>630</v>
      </c>
      <c r="B95" s="132" t="s">
        <v>619</v>
      </c>
      <c r="C95" s="133" t="s">
        <v>616</v>
      </c>
      <c r="D95" s="133" t="s">
        <v>617</v>
      </c>
      <c r="E95" s="134">
        <v>6.0</v>
      </c>
      <c r="F95" s="135" t="str">
        <f>IF(A95="","",VLOOKUP(A95,'Cotizador Compras'!$A$5:$J$21,2,FALSE))</f>
        <v>YOUR BRAND</v>
      </c>
      <c r="G95" s="136">
        <f>IF(A95="","",VLOOKUP(A95,'Cotizador Compras'!$A$5:$J$21,3,FALSE))</f>
        <v>90000</v>
      </c>
      <c r="H95" s="105">
        <f>IF(OR(A95="",D95=""),"",IF(D95="Sin estampar",0,IF(D95="Pecho",VLOOKUP(A95,'Cotizador Compras'!$A$5:$J$21,4,FALSE),IF(D95="Espalda",VLOOKUP(A95,'Cotizador Compras'!$A$5:$J$21,5,FALSE),VLOOKUP(A95,'Cotizador Compras'!$A$5:$J$21,4,FALSE)+VLOOKUP(A95,'Cotizador Compras'!$A$5:$J$21,5,FALSE)))))</f>
        <v>0</v>
      </c>
      <c r="I95" s="105">
        <f>IF(A95="","",VLOOKUP(A95,'Cotizador Compras'!$A$5:$J$21,6,FALSE))</f>
        <v>1700</v>
      </c>
      <c r="J95" s="105">
        <f>IF(A95="","",VLOOKUP(A95,'Cotizador Compras'!$A$5:$J$21,7,FALSE))</f>
        <v>1000</v>
      </c>
      <c r="K95" s="137">
        <f t="shared" si="1"/>
        <v>556200</v>
      </c>
      <c r="L95" s="105">
        <f>IF(A95="","",IF(D95="Sin estampar",VLOOKUP(A95,'Cotizador Compras'!$A$5:$J$21,8,FALSE),IF(D95="Pecho",VLOOKUP(A95,'Cotizador Compras'!$A$5:$J$21,10,FALSE),VLOOKUP(A95,'Cotizador Compras'!$A$5:$J$21,9,FALSE))))</f>
        <v>200000</v>
      </c>
      <c r="M95" s="138">
        <f t="shared" si="2"/>
        <v>1200000</v>
      </c>
      <c r="N95" s="105">
        <f t="shared" si="3"/>
        <v>92700</v>
      </c>
      <c r="O95" s="139">
        <f t="shared" si="4"/>
        <v>0.5365</v>
      </c>
      <c r="P95" s="140" t="str">
        <f t="shared" si="5"/>
        <v>Chompa Capucha M Negro</v>
      </c>
      <c r="Q95" s="145" t="s">
        <v>354</v>
      </c>
      <c r="R95" s="142">
        <f t="shared" si="6"/>
        <v>2</v>
      </c>
      <c r="T95" s="143">
        <f t="shared" si="7"/>
        <v>540000</v>
      </c>
      <c r="W95" s="144"/>
      <c r="X95" s="105">
        <f t="shared" si="8"/>
        <v>570000</v>
      </c>
      <c r="Y95" s="139">
        <f t="shared" si="9"/>
        <v>0.5121052632</v>
      </c>
      <c r="Z95" s="144"/>
      <c r="AA95" s="105">
        <f t="shared" si="10"/>
        <v>1110000</v>
      </c>
      <c r="AB95" s="139">
        <f t="shared" si="11"/>
        <v>0.4989189189</v>
      </c>
      <c r="AC95" s="144">
        <f t="shared" si="12"/>
        <v>1080000</v>
      </c>
      <c r="AD95" s="105">
        <f t="shared" si="13"/>
        <v>2160000</v>
      </c>
      <c r="AE95" s="139">
        <f t="shared" si="14"/>
        <v>0.485</v>
      </c>
    </row>
    <row r="96" ht="14.25" customHeight="1">
      <c r="A96" s="133" t="s">
        <v>630</v>
      </c>
      <c r="B96" s="132" t="s">
        <v>623</v>
      </c>
      <c r="C96" s="133" t="s">
        <v>616</v>
      </c>
      <c r="D96" s="133" t="s">
        <v>617</v>
      </c>
      <c r="E96" s="134">
        <v>6.0</v>
      </c>
      <c r="F96" s="135" t="str">
        <f>IF(A96="","",VLOOKUP(A96,'Cotizador Compras'!$A$5:$J$21,2,FALSE))</f>
        <v>YOUR BRAND</v>
      </c>
      <c r="G96" s="136">
        <f>IF(A96="","",VLOOKUP(A96,'Cotizador Compras'!$A$5:$J$21,3,FALSE))</f>
        <v>90000</v>
      </c>
      <c r="H96" s="105">
        <f>IF(OR(A96="",D96=""),"",IF(D96="Sin estampar",0,IF(D96="Pecho",VLOOKUP(A96,'Cotizador Compras'!$A$5:$J$21,4,FALSE),IF(D96="Espalda",VLOOKUP(A96,'Cotizador Compras'!$A$5:$J$21,5,FALSE),VLOOKUP(A96,'Cotizador Compras'!$A$5:$J$21,4,FALSE)+VLOOKUP(A96,'Cotizador Compras'!$A$5:$J$21,5,FALSE)))))</f>
        <v>0</v>
      </c>
      <c r="I96" s="105">
        <f>IF(A96="","",VLOOKUP(A96,'Cotizador Compras'!$A$5:$J$21,6,FALSE))</f>
        <v>1700</v>
      </c>
      <c r="J96" s="105">
        <f>IF(A96="","",VLOOKUP(A96,'Cotizador Compras'!$A$5:$J$21,7,FALSE))</f>
        <v>1000</v>
      </c>
      <c r="K96" s="137">
        <f t="shared" si="1"/>
        <v>556200</v>
      </c>
      <c r="L96" s="105">
        <f>IF(A96="","",IF(D96="Sin estampar",VLOOKUP(A96,'Cotizador Compras'!$A$5:$J$21,8,FALSE),IF(D96="Pecho",VLOOKUP(A96,'Cotizador Compras'!$A$5:$J$21,10,FALSE),VLOOKUP(A96,'Cotizador Compras'!$A$5:$J$21,9,FALSE))))</f>
        <v>200000</v>
      </c>
      <c r="M96" s="138">
        <f t="shared" si="2"/>
        <v>1200000</v>
      </c>
      <c r="N96" s="105">
        <f t="shared" si="3"/>
        <v>92700</v>
      </c>
      <c r="O96" s="139">
        <f t="shared" si="4"/>
        <v>0.5365</v>
      </c>
      <c r="P96" s="140" t="str">
        <f t="shared" si="5"/>
        <v>Chompa Capucha L Negro</v>
      </c>
      <c r="Q96" s="145" t="s">
        <v>355</v>
      </c>
      <c r="R96" s="142">
        <f t="shared" si="6"/>
        <v>2</v>
      </c>
      <c r="T96" s="143">
        <f t="shared" si="7"/>
        <v>540000</v>
      </c>
      <c r="W96" s="144"/>
      <c r="X96" s="105">
        <f t="shared" si="8"/>
        <v>570000</v>
      </c>
      <c r="Y96" s="139">
        <f t="shared" si="9"/>
        <v>0.5121052632</v>
      </c>
      <c r="Z96" s="144"/>
      <c r="AA96" s="105">
        <f t="shared" si="10"/>
        <v>1110000</v>
      </c>
      <c r="AB96" s="139">
        <f t="shared" si="11"/>
        <v>0.4989189189</v>
      </c>
      <c r="AC96" s="144">
        <f t="shared" si="12"/>
        <v>1080000</v>
      </c>
      <c r="AD96" s="105">
        <f t="shared" si="13"/>
        <v>2160000</v>
      </c>
      <c r="AE96" s="139">
        <f t="shared" si="14"/>
        <v>0.485</v>
      </c>
    </row>
    <row r="97" ht="14.25" customHeight="1">
      <c r="A97" s="133" t="s">
        <v>630</v>
      </c>
      <c r="B97" s="132" t="s">
        <v>615</v>
      </c>
      <c r="C97" s="132" t="s">
        <v>632</v>
      </c>
      <c r="D97" s="133" t="s">
        <v>617</v>
      </c>
      <c r="E97" s="134">
        <v>1.0</v>
      </c>
      <c r="F97" s="135" t="str">
        <f>IF(A97="","",VLOOKUP(A97,'Cotizador Compras'!$A$5:$J$21,2,FALSE))</f>
        <v>YOUR BRAND</v>
      </c>
      <c r="G97" s="136">
        <f>IF(A97="","",VLOOKUP(A97,'Cotizador Compras'!$A$5:$J$21,3,FALSE))</f>
        <v>90000</v>
      </c>
      <c r="H97" s="105">
        <f>IF(OR(A97="",D97=""),"",IF(D97="Sin estampar",0,IF(D97="Pecho",VLOOKUP(A97,'Cotizador Compras'!$A$5:$J$21,4,FALSE),IF(D97="Espalda",VLOOKUP(A97,'Cotizador Compras'!$A$5:$J$21,5,FALSE),VLOOKUP(A97,'Cotizador Compras'!$A$5:$J$21,4,FALSE)+VLOOKUP(A97,'Cotizador Compras'!$A$5:$J$21,5,FALSE)))))</f>
        <v>0</v>
      </c>
      <c r="I97" s="105">
        <f>IF(A97="","",VLOOKUP(A97,'Cotizador Compras'!$A$5:$J$21,6,FALSE))</f>
        <v>1700</v>
      </c>
      <c r="J97" s="105">
        <f>IF(A97="","",VLOOKUP(A97,'Cotizador Compras'!$A$5:$J$21,7,FALSE))</f>
        <v>1000</v>
      </c>
      <c r="K97" s="137">
        <f t="shared" si="1"/>
        <v>92700</v>
      </c>
      <c r="L97" s="105">
        <f>IF(A97="","",IF(D97="Sin estampar",VLOOKUP(A97,'Cotizador Compras'!$A$5:$J$21,8,FALSE),IF(D97="Pecho",VLOOKUP(A97,'Cotizador Compras'!$A$5:$J$21,10,FALSE),VLOOKUP(A97,'Cotizador Compras'!$A$5:$J$21,9,FALSE))))</f>
        <v>200000</v>
      </c>
      <c r="M97" s="138">
        <f t="shared" si="2"/>
        <v>200000</v>
      </c>
      <c r="N97" s="105">
        <f t="shared" si="3"/>
        <v>92700</v>
      </c>
      <c r="O97" s="139">
        <f t="shared" si="4"/>
        <v>0.5365</v>
      </c>
      <c r="P97" s="140" t="str">
        <f t="shared" si="5"/>
        <v>Chompa Capucha S Perla</v>
      </c>
      <c r="Q97" s="145" t="s">
        <v>356</v>
      </c>
      <c r="R97" s="142">
        <f t="shared" si="6"/>
        <v>2</v>
      </c>
      <c r="T97" s="143">
        <f t="shared" si="7"/>
        <v>90000</v>
      </c>
      <c r="W97" s="144"/>
      <c r="X97" s="105">
        <f t="shared" si="8"/>
        <v>570000</v>
      </c>
      <c r="Y97" s="139">
        <f t="shared" si="9"/>
        <v>0.5121052632</v>
      </c>
      <c r="Z97" s="144"/>
      <c r="AA97" s="105">
        <f t="shared" si="10"/>
        <v>1110000</v>
      </c>
      <c r="AB97" s="139">
        <f t="shared" si="11"/>
        <v>0.4989189189</v>
      </c>
      <c r="AC97" s="144">
        <f t="shared" si="12"/>
        <v>180000</v>
      </c>
      <c r="AD97" s="105">
        <f t="shared" si="13"/>
        <v>2160000</v>
      </c>
      <c r="AE97" s="139">
        <f t="shared" si="14"/>
        <v>0.485</v>
      </c>
    </row>
    <row r="98" ht="14.25" customHeight="1">
      <c r="A98" s="133" t="s">
        <v>630</v>
      </c>
      <c r="B98" s="132" t="s">
        <v>619</v>
      </c>
      <c r="C98" s="132" t="s">
        <v>632</v>
      </c>
      <c r="D98" s="133" t="s">
        <v>617</v>
      </c>
      <c r="E98" s="146">
        <v>2.0</v>
      </c>
      <c r="F98" s="135" t="str">
        <f>IF(A98="","",VLOOKUP(A98,'Cotizador Compras'!$A$5:$J$21,2,FALSE))</f>
        <v>YOUR BRAND</v>
      </c>
      <c r="G98" s="136">
        <f>IF(A98="","",VLOOKUP(A98,'Cotizador Compras'!$A$5:$J$21,3,FALSE))</f>
        <v>90000</v>
      </c>
      <c r="H98" s="105">
        <f>IF(OR(A98="",D98=""),"",IF(D98="Sin estampar",0,IF(D98="Pecho",VLOOKUP(A98,'Cotizador Compras'!$A$5:$J$21,4,FALSE),IF(D98="Espalda",VLOOKUP(A98,'Cotizador Compras'!$A$5:$J$21,5,FALSE),VLOOKUP(A98,'Cotizador Compras'!$A$5:$J$21,4,FALSE)+VLOOKUP(A98,'Cotizador Compras'!$A$5:$J$21,5,FALSE)))))</f>
        <v>0</v>
      </c>
      <c r="I98" s="105">
        <f>IF(A98="","",VLOOKUP(A98,'Cotizador Compras'!$A$5:$J$21,6,FALSE))</f>
        <v>1700</v>
      </c>
      <c r="J98" s="105">
        <f>IF(A98="","",VLOOKUP(A98,'Cotizador Compras'!$A$5:$J$21,7,FALSE))</f>
        <v>1000</v>
      </c>
      <c r="K98" s="137">
        <f t="shared" si="1"/>
        <v>185400</v>
      </c>
      <c r="L98" s="105">
        <f>IF(A98="","",IF(D98="Sin estampar",VLOOKUP(A98,'Cotizador Compras'!$A$5:$J$21,8,FALSE),IF(D98="Pecho",VLOOKUP(A98,'Cotizador Compras'!$A$5:$J$21,10,FALSE),VLOOKUP(A98,'Cotizador Compras'!$A$5:$J$21,9,FALSE))))</f>
        <v>200000</v>
      </c>
      <c r="M98" s="138">
        <f t="shared" si="2"/>
        <v>400000</v>
      </c>
      <c r="N98" s="105">
        <f t="shared" si="3"/>
        <v>92700</v>
      </c>
      <c r="O98" s="139">
        <f t="shared" si="4"/>
        <v>0.5365</v>
      </c>
      <c r="P98" s="140" t="str">
        <f t="shared" si="5"/>
        <v>Chompa Capucha M Perla</v>
      </c>
      <c r="Q98" s="145" t="s">
        <v>358</v>
      </c>
      <c r="R98" s="142">
        <f t="shared" si="6"/>
        <v>2</v>
      </c>
      <c r="T98" s="143">
        <f t="shared" si="7"/>
        <v>180000</v>
      </c>
      <c r="W98" s="144"/>
      <c r="X98" s="105">
        <f t="shared" si="8"/>
        <v>570000</v>
      </c>
      <c r="Y98" s="139">
        <f t="shared" si="9"/>
        <v>0.5121052632</v>
      </c>
      <c r="Z98" s="144"/>
      <c r="AA98" s="105">
        <f t="shared" si="10"/>
        <v>1110000</v>
      </c>
      <c r="AB98" s="139">
        <f t="shared" si="11"/>
        <v>0.4989189189</v>
      </c>
      <c r="AC98" s="144">
        <f t="shared" si="12"/>
        <v>360000</v>
      </c>
      <c r="AD98" s="105">
        <f t="shared" si="13"/>
        <v>2160000</v>
      </c>
      <c r="AE98" s="139">
        <f t="shared" si="14"/>
        <v>0.485</v>
      </c>
    </row>
    <row r="99" ht="14.25" customHeight="1">
      <c r="A99" s="133" t="s">
        <v>630</v>
      </c>
      <c r="B99" s="132" t="s">
        <v>623</v>
      </c>
      <c r="C99" s="132" t="s">
        <v>632</v>
      </c>
      <c r="D99" s="133" t="s">
        <v>617</v>
      </c>
      <c r="E99" s="146">
        <v>2.0</v>
      </c>
      <c r="F99" s="135" t="str">
        <f>IF(A99="","",VLOOKUP(A99,'Cotizador Compras'!$A$5:$J$21,2,FALSE))</f>
        <v>YOUR BRAND</v>
      </c>
      <c r="G99" s="136">
        <f>IF(A99="","",VLOOKUP(A99,'Cotizador Compras'!$A$5:$J$21,3,FALSE))</f>
        <v>90000</v>
      </c>
      <c r="H99" s="105">
        <f>IF(OR(A99="",D99=""),"",IF(D99="Sin estampar",0,IF(D99="Pecho",VLOOKUP(A99,'Cotizador Compras'!$A$5:$J$21,4,FALSE),IF(D99="Espalda",VLOOKUP(A99,'Cotizador Compras'!$A$5:$J$21,5,FALSE),VLOOKUP(A99,'Cotizador Compras'!$A$5:$J$21,4,FALSE)+VLOOKUP(A99,'Cotizador Compras'!$A$5:$J$21,5,FALSE)))))</f>
        <v>0</v>
      </c>
      <c r="I99" s="105">
        <f>IF(A99="","",VLOOKUP(A99,'Cotizador Compras'!$A$5:$J$21,6,FALSE))</f>
        <v>1700</v>
      </c>
      <c r="J99" s="105">
        <f>IF(A99="","",VLOOKUP(A99,'Cotizador Compras'!$A$5:$J$21,7,FALSE))</f>
        <v>1000</v>
      </c>
      <c r="K99" s="137">
        <f t="shared" si="1"/>
        <v>185400</v>
      </c>
      <c r="L99" s="105">
        <f>IF(A99="","",IF(D99="Sin estampar",VLOOKUP(A99,'Cotizador Compras'!$A$5:$J$21,8,FALSE),IF(D99="Pecho",VLOOKUP(A99,'Cotizador Compras'!$A$5:$J$21,10,FALSE),VLOOKUP(A99,'Cotizador Compras'!$A$5:$J$21,9,FALSE))))</f>
        <v>200000</v>
      </c>
      <c r="M99" s="138">
        <f t="shared" si="2"/>
        <v>400000</v>
      </c>
      <c r="N99" s="105">
        <f t="shared" si="3"/>
        <v>92700</v>
      </c>
      <c r="O99" s="139">
        <f t="shared" si="4"/>
        <v>0.5365</v>
      </c>
      <c r="P99" s="140" t="str">
        <f t="shared" si="5"/>
        <v>Chompa Capucha L Perla</v>
      </c>
      <c r="Q99" s="145" t="s">
        <v>676</v>
      </c>
      <c r="R99" s="142">
        <f t="shared" si="6"/>
        <v>2</v>
      </c>
      <c r="T99" s="143">
        <f t="shared" si="7"/>
        <v>180000</v>
      </c>
      <c r="W99" s="144"/>
      <c r="X99" s="105">
        <f t="shared" si="8"/>
        <v>570000</v>
      </c>
      <c r="Y99" s="139">
        <f t="shared" si="9"/>
        <v>0.5121052632</v>
      </c>
      <c r="Z99" s="144"/>
      <c r="AA99" s="105">
        <f t="shared" si="10"/>
        <v>1110000</v>
      </c>
      <c r="AB99" s="139">
        <f t="shared" si="11"/>
        <v>0.4989189189</v>
      </c>
      <c r="AC99" s="144">
        <f t="shared" si="12"/>
        <v>360000</v>
      </c>
      <c r="AD99" s="105">
        <f t="shared" si="13"/>
        <v>2160000</v>
      </c>
      <c r="AE99" s="139">
        <f t="shared" si="14"/>
        <v>0.485</v>
      </c>
    </row>
    <row r="100" ht="14.25" customHeight="1">
      <c r="A100" s="133" t="s">
        <v>630</v>
      </c>
      <c r="B100" s="132" t="s">
        <v>615</v>
      </c>
      <c r="C100" s="132" t="s">
        <v>638</v>
      </c>
      <c r="D100" s="133" t="s">
        <v>617</v>
      </c>
      <c r="E100" s="134">
        <v>1.0</v>
      </c>
      <c r="F100" s="135" t="str">
        <f>IF(A100="","",VLOOKUP(A100,'Cotizador Compras'!$A$5:$J$21,2,FALSE))</f>
        <v>YOUR BRAND</v>
      </c>
      <c r="G100" s="136">
        <f>IF(A100="","",VLOOKUP(A100,'Cotizador Compras'!$A$5:$J$21,3,FALSE))</f>
        <v>90000</v>
      </c>
      <c r="H100" s="105">
        <f>IF(OR(A100="",D100=""),"",IF(D100="Sin estampar",0,IF(D100="Pecho",VLOOKUP(A100,'Cotizador Compras'!$A$5:$J$21,4,FALSE),IF(D100="Espalda",VLOOKUP(A100,'Cotizador Compras'!$A$5:$J$21,5,FALSE),VLOOKUP(A100,'Cotizador Compras'!$A$5:$J$21,4,FALSE)+VLOOKUP(A100,'Cotizador Compras'!$A$5:$J$21,5,FALSE)))))</f>
        <v>0</v>
      </c>
      <c r="I100" s="105">
        <f>IF(A100="","",VLOOKUP(A100,'Cotizador Compras'!$A$5:$J$21,6,FALSE))</f>
        <v>1700</v>
      </c>
      <c r="J100" s="105">
        <f>IF(A100="","",VLOOKUP(A100,'Cotizador Compras'!$A$5:$J$21,7,FALSE))</f>
        <v>1000</v>
      </c>
      <c r="K100" s="137">
        <f t="shared" si="1"/>
        <v>92700</v>
      </c>
      <c r="L100" s="105">
        <f>IF(A100="","",IF(D100="Sin estampar",VLOOKUP(A100,'Cotizador Compras'!$A$5:$J$21,8,FALSE),IF(D100="Pecho",VLOOKUP(A100,'Cotizador Compras'!$A$5:$J$21,10,FALSE),VLOOKUP(A100,'Cotizador Compras'!$A$5:$J$21,9,FALSE))))</f>
        <v>200000</v>
      </c>
      <c r="M100" s="138">
        <f t="shared" si="2"/>
        <v>200000</v>
      </c>
      <c r="N100" s="105">
        <f t="shared" si="3"/>
        <v>92700</v>
      </c>
      <c r="O100" s="139">
        <f t="shared" si="4"/>
        <v>0.5365</v>
      </c>
      <c r="P100" s="140" t="str">
        <f t="shared" si="5"/>
        <v>Chompa Capucha S Verde Botella</v>
      </c>
      <c r="Q100" s="145" t="s">
        <v>360</v>
      </c>
      <c r="R100" s="142">
        <f t="shared" si="6"/>
        <v>2</v>
      </c>
      <c r="T100" s="143">
        <f t="shared" si="7"/>
        <v>90000</v>
      </c>
      <c r="W100" s="144"/>
      <c r="X100" s="105">
        <f t="shared" si="8"/>
        <v>570000</v>
      </c>
      <c r="Y100" s="139">
        <f t="shared" si="9"/>
        <v>0.5121052632</v>
      </c>
      <c r="Z100" s="144"/>
      <c r="AA100" s="105">
        <f t="shared" si="10"/>
        <v>1110000</v>
      </c>
      <c r="AB100" s="139">
        <f t="shared" si="11"/>
        <v>0.4989189189</v>
      </c>
      <c r="AC100" s="144">
        <f t="shared" si="12"/>
        <v>180000</v>
      </c>
      <c r="AD100" s="105">
        <f t="shared" si="13"/>
        <v>2160000</v>
      </c>
      <c r="AE100" s="139">
        <f t="shared" si="14"/>
        <v>0.485</v>
      </c>
    </row>
    <row r="101" ht="14.25" customHeight="1">
      <c r="A101" s="133" t="s">
        <v>630</v>
      </c>
      <c r="B101" s="132" t="s">
        <v>619</v>
      </c>
      <c r="C101" s="132" t="s">
        <v>638</v>
      </c>
      <c r="D101" s="133" t="s">
        <v>617</v>
      </c>
      <c r="E101" s="146">
        <v>2.0</v>
      </c>
      <c r="F101" s="135" t="str">
        <f>IF(A101="","",VLOOKUP(A101,'Cotizador Compras'!$A$5:$J$21,2,FALSE))</f>
        <v>YOUR BRAND</v>
      </c>
      <c r="G101" s="136">
        <f>IF(A101="","",VLOOKUP(A101,'Cotizador Compras'!$A$5:$J$21,3,FALSE))</f>
        <v>90000</v>
      </c>
      <c r="H101" s="105">
        <f>IF(OR(A101="",D101=""),"",IF(D101="Sin estampar",0,IF(D101="Pecho",VLOOKUP(A101,'Cotizador Compras'!$A$5:$J$21,4,FALSE),IF(D101="Espalda",VLOOKUP(A101,'Cotizador Compras'!$A$5:$J$21,5,FALSE),VLOOKUP(A101,'Cotizador Compras'!$A$5:$J$21,4,FALSE)+VLOOKUP(A101,'Cotizador Compras'!$A$5:$J$21,5,FALSE)))))</f>
        <v>0</v>
      </c>
      <c r="I101" s="105">
        <f>IF(A101="","",VLOOKUP(A101,'Cotizador Compras'!$A$5:$J$21,6,FALSE))</f>
        <v>1700</v>
      </c>
      <c r="J101" s="105">
        <f>IF(A101="","",VLOOKUP(A101,'Cotizador Compras'!$A$5:$J$21,7,FALSE))</f>
        <v>1000</v>
      </c>
      <c r="K101" s="137">
        <f t="shared" si="1"/>
        <v>185400</v>
      </c>
      <c r="L101" s="105">
        <f>IF(A101="","",IF(D101="Sin estampar",VLOOKUP(A101,'Cotizador Compras'!$A$5:$J$21,8,FALSE),IF(D101="Pecho",VLOOKUP(A101,'Cotizador Compras'!$A$5:$J$21,10,FALSE),VLOOKUP(A101,'Cotizador Compras'!$A$5:$J$21,9,FALSE))))</f>
        <v>200000</v>
      </c>
      <c r="M101" s="138">
        <f t="shared" si="2"/>
        <v>400000</v>
      </c>
      <c r="N101" s="105">
        <f t="shared" si="3"/>
        <v>92700</v>
      </c>
      <c r="O101" s="139">
        <f t="shared" si="4"/>
        <v>0.5365</v>
      </c>
      <c r="P101" s="140" t="str">
        <f t="shared" si="5"/>
        <v>Chompa Capucha M Verde Botella</v>
      </c>
      <c r="Q101" s="145" t="s">
        <v>372</v>
      </c>
      <c r="R101" s="142">
        <f t="shared" si="6"/>
        <v>8</v>
      </c>
      <c r="T101" s="143">
        <f t="shared" si="7"/>
        <v>180000</v>
      </c>
      <c r="W101" s="144"/>
      <c r="X101" s="105">
        <f t="shared" si="8"/>
        <v>570000</v>
      </c>
      <c r="Y101" s="139">
        <f t="shared" si="9"/>
        <v>0.5121052632</v>
      </c>
      <c r="Z101" s="144"/>
      <c r="AA101" s="105">
        <f t="shared" si="10"/>
        <v>1110000</v>
      </c>
      <c r="AB101" s="139">
        <f t="shared" si="11"/>
        <v>0.4989189189</v>
      </c>
      <c r="AC101" s="144">
        <f t="shared" si="12"/>
        <v>360000</v>
      </c>
      <c r="AD101" s="105">
        <f t="shared" si="13"/>
        <v>2160000</v>
      </c>
      <c r="AE101" s="139">
        <f t="shared" si="14"/>
        <v>0.485</v>
      </c>
    </row>
    <row r="102" ht="14.25" customHeight="1">
      <c r="A102" s="133" t="s">
        <v>630</v>
      </c>
      <c r="B102" s="132" t="s">
        <v>623</v>
      </c>
      <c r="C102" s="132" t="s">
        <v>638</v>
      </c>
      <c r="D102" s="133" t="s">
        <v>617</v>
      </c>
      <c r="E102" s="146">
        <v>2.0</v>
      </c>
      <c r="F102" s="135" t="str">
        <f>IF(A102="","",VLOOKUP(A102,'Cotizador Compras'!$A$5:$J$21,2,FALSE))</f>
        <v>YOUR BRAND</v>
      </c>
      <c r="G102" s="136">
        <f>IF(A102="","",VLOOKUP(A102,'Cotizador Compras'!$A$5:$J$21,3,FALSE))</f>
        <v>90000</v>
      </c>
      <c r="H102" s="105">
        <f>IF(OR(A102="",D102=""),"",IF(D102="Sin estampar",0,IF(D102="Pecho",VLOOKUP(A102,'Cotizador Compras'!$A$5:$J$21,4,FALSE),IF(D102="Espalda",VLOOKUP(A102,'Cotizador Compras'!$A$5:$J$21,5,FALSE),VLOOKUP(A102,'Cotizador Compras'!$A$5:$J$21,4,FALSE)+VLOOKUP(A102,'Cotizador Compras'!$A$5:$J$21,5,FALSE)))))</f>
        <v>0</v>
      </c>
      <c r="I102" s="105">
        <f>IF(A102="","",VLOOKUP(A102,'Cotizador Compras'!$A$5:$J$21,6,FALSE))</f>
        <v>1700</v>
      </c>
      <c r="J102" s="105">
        <f>IF(A102="","",VLOOKUP(A102,'Cotizador Compras'!$A$5:$J$21,7,FALSE))</f>
        <v>1000</v>
      </c>
      <c r="K102" s="137">
        <f t="shared" si="1"/>
        <v>185400</v>
      </c>
      <c r="L102" s="105">
        <f>IF(A102="","",IF(D102="Sin estampar",VLOOKUP(A102,'Cotizador Compras'!$A$5:$J$21,8,FALSE),IF(D102="Pecho",VLOOKUP(A102,'Cotizador Compras'!$A$5:$J$21,10,FALSE),VLOOKUP(A102,'Cotizador Compras'!$A$5:$J$21,9,FALSE))))</f>
        <v>200000</v>
      </c>
      <c r="M102" s="138">
        <f t="shared" si="2"/>
        <v>400000</v>
      </c>
      <c r="N102" s="105">
        <f t="shared" si="3"/>
        <v>92700</v>
      </c>
      <c r="O102" s="139">
        <f t="shared" si="4"/>
        <v>0.5365</v>
      </c>
      <c r="P102" s="140" t="str">
        <f t="shared" si="5"/>
        <v>Chompa Capucha L Verde Botella</v>
      </c>
      <c r="Q102" s="145" t="s">
        <v>374</v>
      </c>
      <c r="R102" s="142">
        <f t="shared" si="6"/>
        <v>8</v>
      </c>
      <c r="T102" s="143">
        <f t="shared" si="7"/>
        <v>180000</v>
      </c>
      <c r="W102" s="144"/>
      <c r="X102" s="105">
        <f t="shared" si="8"/>
        <v>570000</v>
      </c>
      <c r="Y102" s="139">
        <f t="shared" si="9"/>
        <v>0.5121052632</v>
      </c>
      <c r="Z102" s="144"/>
      <c r="AA102" s="105">
        <f t="shared" si="10"/>
        <v>1110000</v>
      </c>
      <c r="AB102" s="139">
        <f t="shared" si="11"/>
        <v>0.4989189189</v>
      </c>
      <c r="AC102" s="144">
        <f t="shared" si="12"/>
        <v>360000</v>
      </c>
      <c r="AD102" s="105">
        <f t="shared" si="13"/>
        <v>2160000</v>
      </c>
      <c r="AE102" s="139">
        <f t="shared" si="14"/>
        <v>0.485</v>
      </c>
    </row>
    <row r="103" ht="14.25" customHeight="1">
      <c r="A103" s="133" t="s">
        <v>630</v>
      </c>
      <c r="B103" s="132" t="s">
        <v>615</v>
      </c>
      <c r="C103" s="132" t="s">
        <v>624</v>
      </c>
      <c r="D103" s="132" t="s">
        <v>617</v>
      </c>
      <c r="E103" s="134">
        <v>1.0</v>
      </c>
      <c r="F103" s="135" t="str">
        <f>IF(A103="","",VLOOKUP(A103,'Cotizador Compras'!$A$5:$J$21,2,FALSE))</f>
        <v>YOUR BRAND</v>
      </c>
      <c r="G103" s="136">
        <f>IF(A103="","",VLOOKUP(A103,'Cotizador Compras'!$A$5:$J$21,3,FALSE))</f>
        <v>90000</v>
      </c>
      <c r="H103" s="105">
        <f>IF(OR(A103="",D103=""),"",IF(D103="Sin estampar",0,IF(D103="Pecho",VLOOKUP(A103,'Cotizador Compras'!$A$5:$J$21,4,FALSE),IF(D103="Espalda",VLOOKUP(A103,'Cotizador Compras'!$A$5:$J$21,5,FALSE),VLOOKUP(A103,'Cotizador Compras'!$A$5:$J$21,4,FALSE)+VLOOKUP(A103,'Cotizador Compras'!$A$5:$J$21,5,FALSE)))))</f>
        <v>0</v>
      </c>
      <c r="I103" s="105">
        <f>IF(A103="","",VLOOKUP(A103,'Cotizador Compras'!$A$5:$J$21,6,FALSE))</f>
        <v>1700</v>
      </c>
      <c r="J103" s="105">
        <f>IF(A103="","",VLOOKUP(A103,'Cotizador Compras'!$A$5:$J$21,7,FALSE))</f>
        <v>1000</v>
      </c>
      <c r="K103" s="137">
        <f t="shared" si="1"/>
        <v>92700</v>
      </c>
      <c r="L103" s="105">
        <f>IF(A103="","",IF(D103="Sin estampar",VLOOKUP(A103,'Cotizador Compras'!$A$5:$J$21,8,FALSE),IF(D103="Pecho",VLOOKUP(A103,'Cotizador Compras'!$A$5:$J$21,10,FALSE),VLOOKUP(A103,'Cotizador Compras'!$A$5:$J$21,9,FALSE))))</f>
        <v>200000</v>
      </c>
      <c r="M103" s="138">
        <f t="shared" si="2"/>
        <v>200000</v>
      </c>
      <c r="N103" s="105">
        <f t="shared" si="3"/>
        <v>92700</v>
      </c>
      <c r="O103" s="139">
        <f t="shared" si="4"/>
        <v>0.5365</v>
      </c>
      <c r="P103" s="140" t="str">
        <f t="shared" si="5"/>
        <v>Chompa Capucha S Plomo Plata</v>
      </c>
      <c r="Q103" s="145" t="s">
        <v>376</v>
      </c>
      <c r="R103" s="142">
        <f t="shared" si="6"/>
        <v>8</v>
      </c>
      <c r="T103" s="143">
        <f t="shared" si="7"/>
        <v>90000</v>
      </c>
      <c r="W103" s="144"/>
      <c r="X103" s="105">
        <f t="shared" si="8"/>
        <v>570000</v>
      </c>
      <c r="Y103" s="139">
        <f t="shared" si="9"/>
        <v>0.5121052632</v>
      </c>
      <c r="Z103" s="144"/>
      <c r="AA103" s="105">
        <f t="shared" si="10"/>
        <v>1110000</v>
      </c>
      <c r="AB103" s="139">
        <f t="shared" si="11"/>
        <v>0.4989189189</v>
      </c>
      <c r="AC103" s="144">
        <f t="shared" si="12"/>
        <v>180000</v>
      </c>
      <c r="AD103" s="105">
        <f t="shared" si="13"/>
        <v>2160000</v>
      </c>
      <c r="AE103" s="139">
        <f t="shared" si="14"/>
        <v>0.485</v>
      </c>
    </row>
    <row r="104" ht="14.25" customHeight="1">
      <c r="A104" s="133" t="s">
        <v>630</v>
      </c>
      <c r="B104" s="132" t="s">
        <v>619</v>
      </c>
      <c r="C104" s="132" t="s">
        <v>624</v>
      </c>
      <c r="D104" s="132" t="s">
        <v>617</v>
      </c>
      <c r="E104" s="146">
        <v>2.0</v>
      </c>
      <c r="F104" s="135" t="str">
        <f>IF(A104="","",VLOOKUP(A104,'Cotizador Compras'!$A$5:$J$21,2,FALSE))</f>
        <v>YOUR BRAND</v>
      </c>
      <c r="G104" s="136">
        <f>IF(A104="","",VLOOKUP(A104,'Cotizador Compras'!$A$5:$J$21,3,FALSE))</f>
        <v>90000</v>
      </c>
      <c r="H104" s="105">
        <f>IF(OR(A104="",D104=""),"",IF(D104="Sin estampar",0,IF(D104="Pecho",VLOOKUP(A104,'Cotizador Compras'!$A$5:$J$21,4,FALSE),IF(D104="Espalda",VLOOKUP(A104,'Cotizador Compras'!$A$5:$J$21,5,FALSE),VLOOKUP(A104,'Cotizador Compras'!$A$5:$J$21,4,FALSE)+VLOOKUP(A104,'Cotizador Compras'!$A$5:$J$21,5,FALSE)))))</f>
        <v>0</v>
      </c>
      <c r="I104" s="105">
        <f>IF(A104="","",VLOOKUP(A104,'Cotizador Compras'!$A$5:$J$21,6,FALSE))</f>
        <v>1700</v>
      </c>
      <c r="J104" s="105">
        <f>IF(A104="","",VLOOKUP(A104,'Cotizador Compras'!$A$5:$J$21,7,FALSE))</f>
        <v>1000</v>
      </c>
      <c r="K104" s="137">
        <f t="shared" si="1"/>
        <v>185400</v>
      </c>
      <c r="L104" s="105">
        <f>IF(A104="","",IF(D104="Sin estampar",VLOOKUP(A104,'Cotizador Compras'!$A$5:$J$21,8,FALSE),IF(D104="Pecho",VLOOKUP(A104,'Cotizador Compras'!$A$5:$J$21,10,FALSE),VLOOKUP(A104,'Cotizador Compras'!$A$5:$J$21,9,FALSE))))</f>
        <v>200000</v>
      </c>
      <c r="M104" s="138">
        <f t="shared" si="2"/>
        <v>400000</v>
      </c>
      <c r="N104" s="105">
        <f t="shared" si="3"/>
        <v>92700</v>
      </c>
      <c r="O104" s="139">
        <f t="shared" si="4"/>
        <v>0.5365</v>
      </c>
      <c r="P104" s="140" t="str">
        <f t="shared" si="5"/>
        <v>Chompa Capucha M Plomo Plata</v>
      </c>
      <c r="Q104" s="145" t="s">
        <v>384</v>
      </c>
      <c r="R104" s="142">
        <f t="shared" si="6"/>
        <v>3</v>
      </c>
      <c r="T104" s="143">
        <f t="shared" si="7"/>
        <v>180000</v>
      </c>
      <c r="W104" s="144"/>
      <c r="X104" s="105">
        <f t="shared" si="8"/>
        <v>570000</v>
      </c>
      <c r="Y104" s="139">
        <f t="shared" si="9"/>
        <v>0.5121052632</v>
      </c>
      <c r="Z104" s="144"/>
      <c r="AA104" s="105">
        <f t="shared" si="10"/>
        <v>1110000</v>
      </c>
      <c r="AB104" s="139">
        <f t="shared" si="11"/>
        <v>0.4989189189</v>
      </c>
      <c r="AC104" s="144">
        <f t="shared" si="12"/>
        <v>360000</v>
      </c>
      <c r="AD104" s="105">
        <f t="shared" si="13"/>
        <v>2160000</v>
      </c>
      <c r="AE104" s="139">
        <f t="shared" si="14"/>
        <v>0.485</v>
      </c>
    </row>
    <row r="105" ht="14.25" customHeight="1">
      <c r="A105" s="133" t="s">
        <v>630</v>
      </c>
      <c r="B105" s="132" t="s">
        <v>623</v>
      </c>
      <c r="C105" s="132" t="s">
        <v>624</v>
      </c>
      <c r="D105" s="132" t="s">
        <v>617</v>
      </c>
      <c r="E105" s="146">
        <v>2.0</v>
      </c>
      <c r="F105" s="135" t="str">
        <f>IF(A105="","",VLOOKUP(A105,'Cotizador Compras'!$A$5:$J$21,2,FALSE))</f>
        <v>YOUR BRAND</v>
      </c>
      <c r="G105" s="136">
        <f>IF(A105="","",VLOOKUP(A105,'Cotizador Compras'!$A$5:$J$21,3,FALSE))</f>
        <v>90000</v>
      </c>
      <c r="H105" s="105">
        <f>IF(OR(A105="",D105=""),"",IF(D105="Sin estampar",0,IF(D105="Pecho",VLOOKUP(A105,'Cotizador Compras'!$A$5:$J$21,4,FALSE),IF(D105="Espalda",VLOOKUP(A105,'Cotizador Compras'!$A$5:$J$21,5,FALSE),VLOOKUP(A105,'Cotizador Compras'!$A$5:$J$21,4,FALSE)+VLOOKUP(A105,'Cotizador Compras'!$A$5:$J$21,5,FALSE)))))</f>
        <v>0</v>
      </c>
      <c r="I105" s="105">
        <f>IF(A105="","",VLOOKUP(A105,'Cotizador Compras'!$A$5:$J$21,6,FALSE))</f>
        <v>1700</v>
      </c>
      <c r="J105" s="105">
        <f>IF(A105="","",VLOOKUP(A105,'Cotizador Compras'!$A$5:$J$21,7,FALSE))</f>
        <v>1000</v>
      </c>
      <c r="K105" s="137">
        <f t="shared" si="1"/>
        <v>185400</v>
      </c>
      <c r="L105" s="105">
        <f>IF(A105="","",IF(D105="Sin estampar",VLOOKUP(A105,'Cotizador Compras'!$A$5:$J$21,8,FALSE),IF(D105="Pecho",VLOOKUP(A105,'Cotizador Compras'!$A$5:$J$21,10,FALSE),VLOOKUP(A105,'Cotizador Compras'!$A$5:$J$21,9,FALSE))))</f>
        <v>200000</v>
      </c>
      <c r="M105" s="138">
        <f t="shared" si="2"/>
        <v>400000</v>
      </c>
      <c r="N105" s="105">
        <f t="shared" si="3"/>
        <v>92700</v>
      </c>
      <c r="O105" s="139">
        <f t="shared" si="4"/>
        <v>0.5365</v>
      </c>
      <c r="P105" s="140" t="str">
        <f t="shared" si="5"/>
        <v>Chompa Capucha L Plomo Plata</v>
      </c>
      <c r="Q105" s="145"/>
      <c r="R105" s="142">
        <f t="shared" si="6"/>
        <v>0</v>
      </c>
      <c r="T105" s="143">
        <f t="shared" si="7"/>
        <v>180000</v>
      </c>
      <c r="W105" s="144"/>
      <c r="X105" s="105">
        <f t="shared" si="8"/>
        <v>570000</v>
      </c>
      <c r="Y105" s="139">
        <f t="shared" si="9"/>
        <v>0.5121052632</v>
      </c>
      <c r="Z105" s="144"/>
      <c r="AA105" s="105">
        <f t="shared" si="10"/>
        <v>1110000</v>
      </c>
      <c r="AB105" s="139">
        <f t="shared" si="11"/>
        <v>0.4989189189</v>
      </c>
      <c r="AC105" s="144">
        <f t="shared" si="12"/>
        <v>360000</v>
      </c>
      <c r="AD105" s="105">
        <f t="shared" si="13"/>
        <v>2160000</v>
      </c>
      <c r="AE105" s="139">
        <f t="shared" si="14"/>
        <v>0.485</v>
      </c>
    </row>
    <row r="106" ht="14.25" customHeight="1">
      <c r="A106" s="133" t="s">
        <v>630</v>
      </c>
      <c r="B106" s="132" t="s">
        <v>615</v>
      </c>
      <c r="C106" s="133" t="s">
        <v>616</v>
      </c>
      <c r="D106" s="133" t="s">
        <v>621</v>
      </c>
      <c r="E106" s="134">
        <v>1.0</v>
      </c>
      <c r="F106" s="135" t="str">
        <f>IF(A106="","",VLOOKUP(A106,'Cotizador Compras'!$A$5:$J$21,2,FALSE))</f>
        <v>YOUR BRAND</v>
      </c>
      <c r="G106" s="136">
        <f>IF(A106="","",VLOOKUP(A106,'Cotizador Compras'!$A$5:$J$21,3,FALSE))</f>
        <v>90000</v>
      </c>
      <c r="H106" s="105">
        <f>IF(OR(A106="",D106=""),"",IF(D106="Sin estampar",0,IF(D106="Pecho",VLOOKUP(A106,'Cotizador Compras'!$A$5:$J$21,4,FALSE),IF(D106="Espalda",VLOOKUP(A106,'Cotizador Compras'!$A$5:$J$21,5,FALSE),VLOOKUP(A106,'Cotizador Compras'!$A$5:$J$21,4,FALSE)+VLOOKUP(A106,'Cotizador Compras'!$A$5:$J$21,5,FALSE)))))</f>
        <v>3500</v>
      </c>
      <c r="I106" s="105">
        <f>IF(A106="","",VLOOKUP(A106,'Cotizador Compras'!$A$5:$J$21,6,FALSE))</f>
        <v>1700</v>
      </c>
      <c r="J106" s="105">
        <f>IF(A106="","",VLOOKUP(A106,'Cotizador Compras'!$A$5:$J$21,7,FALSE))</f>
        <v>1000</v>
      </c>
      <c r="K106" s="137">
        <f t="shared" si="1"/>
        <v>96200</v>
      </c>
      <c r="L106" s="105">
        <f>IF(A106="","",IF(D106="Sin estampar",VLOOKUP(A106,'Cotizador Compras'!$A$5:$J$21,8,FALSE),IF(D106="Pecho",VLOOKUP(A106,'Cotizador Compras'!$A$5:$J$21,10,FALSE),VLOOKUP(A106,'Cotizador Compras'!$A$5:$J$21,9,FALSE))))</f>
        <v>230000</v>
      </c>
      <c r="M106" s="138">
        <f t="shared" si="2"/>
        <v>230000</v>
      </c>
      <c r="N106" s="105">
        <f t="shared" si="3"/>
        <v>96200</v>
      </c>
      <c r="O106" s="139">
        <f t="shared" si="4"/>
        <v>0.5817391304</v>
      </c>
      <c r="P106" s="140" t="str">
        <f t="shared" si="5"/>
        <v>Chompa Capucha S Negro</v>
      </c>
      <c r="Q106" s="105"/>
      <c r="R106" s="151">
        <f t="shared" si="6"/>
        <v>0</v>
      </c>
      <c r="T106" s="143">
        <f t="shared" si="7"/>
        <v>90000</v>
      </c>
      <c r="W106" s="144"/>
      <c r="X106" s="105">
        <f t="shared" si="8"/>
        <v>657000</v>
      </c>
      <c r="Y106" s="139">
        <f t="shared" si="9"/>
        <v>0.5607305936</v>
      </c>
      <c r="Z106" s="144"/>
      <c r="AA106" s="105">
        <f t="shared" si="10"/>
        <v>1278000</v>
      </c>
      <c r="AB106" s="139">
        <f t="shared" si="11"/>
        <v>0.5483568075</v>
      </c>
      <c r="AC106" s="144">
        <f t="shared" si="12"/>
        <v>207000</v>
      </c>
      <c r="AD106" s="105">
        <f t="shared" si="13"/>
        <v>2484000</v>
      </c>
      <c r="AE106" s="139">
        <f t="shared" si="14"/>
        <v>0.5352657005</v>
      </c>
    </row>
    <row r="107" ht="14.25" customHeight="1">
      <c r="A107" s="133" t="s">
        <v>630</v>
      </c>
      <c r="B107" s="132" t="s">
        <v>619</v>
      </c>
      <c r="C107" s="133" t="s">
        <v>616</v>
      </c>
      <c r="D107" s="133" t="s">
        <v>621</v>
      </c>
      <c r="E107" s="146">
        <v>2.0</v>
      </c>
      <c r="F107" s="135" t="str">
        <f>IF(A107="","",VLOOKUP(A107,'Cotizador Compras'!$A$5:$J$21,2,FALSE))</f>
        <v>YOUR BRAND</v>
      </c>
      <c r="G107" s="136">
        <f>IF(A107="","",VLOOKUP(A107,'Cotizador Compras'!$A$5:$J$21,3,FALSE))</f>
        <v>90000</v>
      </c>
      <c r="H107" s="105">
        <f>IF(OR(A107="",D107=""),"",IF(D107="Sin estampar",0,IF(D107="Pecho",VLOOKUP(A107,'Cotizador Compras'!$A$5:$J$21,4,FALSE),IF(D107="Espalda",VLOOKUP(A107,'Cotizador Compras'!$A$5:$J$21,5,FALSE),VLOOKUP(A107,'Cotizador Compras'!$A$5:$J$21,4,FALSE)+VLOOKUP(A107,'Cotizador Compras'!$A$5:$J$21,5,FALSE)))))</f>
        <v>3500</v>
      </c>
      <c r="I107" s="105">
        <f>IF(A107="","",VLOOKUP(A107,'Cotizador Compras'!$A$5:$J$21,6,FALSE))</f>
        <v>1700</v>
      </c>
      <c r="J107" s="105">
        <f>IF(A107="","",VLOOKUP(A107,'Cotizador Compras'!$A$5:$J$21,7,FALSE))</f>
        <v>1000</v>
      </c>
      <c r="K107" s="137">
        <f t="shared" si="1"/>
        <v>192400</v>
      </c>
      <c r="L107" s="105">
        <f>IF(A107="","",IF(D107="Sin estampar",VLOOKUP(A107,'Cotizador Compras'!$A$5:$J$21,8,FALSE),IF(D107="Pecho",VLOOKUP(A107,'Cotizador Compras'!$A$5:$J$21,10,FALSE),VLOOKUP(A107,'Cotizador Compras'!$A$5:$J$21,9,FALSE))))</f>
        <v>230000</v>
      </c>
      <c r="M107" s="138">
        <f t="shared" si="2"/>
        <v>460000</v>
      </c>
      <c r="N107" s="105">
        <f t="shared" si="3"/>
        <v>96200</v>
      </c>
      <c r="O107" s="139">
        <f t="shared" si="4"/>
        <v>0.5817391304</v>
      </c>
      <c r="P107" s="140" t="str">
        <f t="shared" si="5"/>
        <v>Chompa Capucha M Negro</v>
      </c>
      <c r="Q107" s="105"/>
      <c r="R107" s="151">
        <f t="shared" si="6"/>
        <v>0</v>
      </c>
      <c r="T107" s="143">
        <f t="shared" si="7"/>
        <v>180000</v>
      </c>
      <c r="W107" s="144"/>
      <c r="X107" s="105">
        <f t="shared" si="8"/>
        <v>657000</v>
      </c>
      <c r="Y107" s="139">
        <f t="shared" si="9"/>
        <v>0.5607305936</v>
      </c>
      <c r="Z107" s="144"/>
      <c r="AA107" s="105">
        <f t="shared" si="10"/>
        <v>1278000</v>
      </c>
      <c r="AB107" s="139">
        <f t="shared" si="11"/>
        <v>0.5483568075</v>
      </c>
      <c r="AC107" s="144">
        <f t="shared" si="12"/>
        <v>414000</v>
      </c>
      <c r="AD107" s="105">
        <f t="shared" si="13"/>
        <v>2484000</v>
      </c>
      <c r="AE107" s="139">
        <f t="shared" si="14"/>
        <v>0.5352657005</v>
      </c>
    </row>
    <row r="108" ht="14.25" customHeight="1">
      <c r="A108" s="133" t="s">
        <v>630</v>
      </c>
      <c r="B108" s="132" t="s">
        <v>623</v>
      </c>
      <c r="C108" s="133" t="s">
        <v>616</v>
      </c>
      <c r="D108" s="133" t="s">
        <v>621</v>
      </c>
      <c r="E108" s="146">
        <v>2.0</v>
      </c>
      <c r="F108" s="135" t="str">
        <f>IF(A108="","",VLOOKUP(A108,'Cotizador Compras'!$A$5:$J$21,2,FALSE))</f>
        <v>YOUR BRAND</v>
      </c>
      <c r="G108" s="136">
        <f>IF(A108="","",VLOOKUP(A108,'Cotizador Compras'!$A$5:$J$21,3,FALSE))</f>
        <v>90000</v>
      </c>
      <c r="H108" s="105">
        <f>IF(OR(A108="",D108=""),"",IF(D108="Sin estampar",0,IF(D108="Pecho",VLOOKUP(A108,'Cotizador Compras'!$A$5:$J$21,4,FALSE),IF(D108="Espalda",VLOOKUP(A108,'Cotizador Compras'!$A$5:$J$21,5,FALSE),VLOOKUP(A108,'Cotizador Compras'!$A$5:$J$21,4,FALSE)+VLOOKUP(A108,'Cotizador Compras'!$A$5:$J$21,5,FALSE)))))</f>
        <v>3500</v>
      </c>
      <c r="I108" s="105">
        <f>IF(A108="","",VLOOKUP(A108,'Cotizador Compras'!$A$5:$J$21,6,FALSE))</f>
        <v>1700</v>
      </c>
      <c r="J108" s="105">
        <f>IF(A108="","",VLOOKUP(A108,'Cotizador Compras'!$A$5:$J$21,7,FALSE))</f>
        <v>1000</v>
      </c>
      <c r="K108" s="137">
        <f t="shared" si="1"/>
        <v>192400</v>
      </c>
      <c r="L108" s="105">
        <f>IF(A108="","",IF(D108="Sin estampar",VLOOKUP(A108,'Cotizador Compras'!$A$5:$J$21,8,FALSE),IF(D108="Pecho",VLOOKUP(A108,'Cotizador Compras'!$A$5:$J$21,10,FALSE),VLOOKUP(A108,'Cotizador Compras'!$A$5:$J$21,9,FALSE))))</f>
        <v>230000</v>
      </c>
      <c r="M108" s="138">
        <f t="shared" si="2"/>
        <v>460000</v>
      </c>
      <c r="N108" s="105">
        <f t="shared" si="3"/>
        <v>96200</v>
      </c>
      <c r="O108" s="139">
        <f t="shared" si="4"/>
        <v>0.5817391304</v>
      </c>
      <c r="P108" s="140" t="str">
        <f t="shared" si="5"/>
        <v>Chompa Capucha L Negro</v>
      </c>
      <c r="Q108" s="105"/>
      <c r="R108" s="151">
        <f t="shared" si="6"/>
        <v>0</v>
      </c>
      <c r="T108" s="143">
        <f t="shared" si="7"/>
        <v>180000</v>
      </c>
      <c r="W108" s="144"/>
      <c r="X108" s="105">
        <f t="shared" si="8"/>
        <v>657000</v>
      </c>
      <c r="Y108" s="139">
        <f t="shared" si="9"/>
        <v>0.5607305936</v>
      </c>
      <c r="Z108" s="144"/>
      <c r="AA108" s="105">
        <f t="shared" si="10"/>
        <v>1278000</v>
      </c>
      <c r="AB108" s="139">
        <f t="shared" si="11"/>
        <v>0.5483568075</v>
      </c>
      <c r="AC108" s="144">
        <f t="shared" si="12"/>
        <v>414000</v>
      </c>
      <c r="AD108" s="105">
        <f t="shared" si="13"/>
        <v>2484000</v>
      </c>
      <c r="AE108" s="139">
        <f t="shared" si="14"/>
        <v>0.5352657005</v>
      </c>
    </row>
    <row r="109" ht="14.25" customHeight="1">
      <c r="A109" s="133" t="s">
        <v>630</v>
      </c>
      <c r="B109" s="132" t="s">
        <v>615</v>
      </c>
      <c r="C109" s="132" t="s">
        <v>632</v>
      </c>
      <c r="D109" s="132" t="s">
        <v>621</v>
      </c>
      <c r="E109" s="134">
        <v>1.0</v>
      </c>
      <c r="F109" s="135" t="str">
        <f>IF(A109="","",VLOOKUP(A109,'Cotizador Compras'!$A$5:$J$21,2,FALSE))</f>
        <v>YOUR BRAND</v>
      </c>
      <c r="G109" s="136">
        <f>IF(A109="","",VLOOKUP(A109,'Cotizador Compras'!$A$5:$J$21,3,FALSE))</f>
        <v>90000</v>
      </c>
      <c r="H109" s="105">
        <f>IF(OR(A109="",D109=""),"",IF(D109="Sin estampar",0,IF(D109="Pecho",VLOOKUP(A109,'Cotizador Compras'!$A$5:$J$21,4,FALSE),IF(D109="Espalda",VLOOKUP(A109,'Cotizador Compras'!$A$5:$J$21,5,FALSE),VLOOKUP(A109,'Cotizador Compras'!$A$5:$J$21,4,FALSE)+VLOOKUP(A109,'Cotizador Compras'!$A$5:$J$21,5,FALSE)))))</f>
        <v>3500</v>
      </c>
      <c r="I109" s="105">
        <f>IF(A109="","",VLOOKUP(A109,'Cotizador Compras'!$A$5:$J$21,6,FALSE))</f>
        <v>1700</v>
      </c>
      <c r="J109" s="105">
        <f>IF(A109="","",VLOOKUP(A109,'Cotizador Compras'!$A$5:$J$21,7,FALSE))</f>
        <v>1000</v>
      </c>
      <c r="K109" s="137">
        <f t="shared" si="1"/>
        <v>96200</v>
      </c>
      <c r="L109" s="105">
        <f>IF(A109="","",IF(D109="Sin estampar",VLOOKUP(A109,'Cotizador Compras'!$A$5:$J$21,8,FALSE),IF(D109="Pecho",VLOOKUP(A109,'Cotizador Compras'!$A$5:$J$21,10,FALSE),VLOOKUP(A109,'Cotizador Compras'!$A$5:$J$21,9,FALSE))))</f>
        <v>230000</v>
      </c>
      <c r="M109" s="138">
        <f t="shared" si="2"/>
        <v>230000</v>
      </c>
      <c r="N109" s="105">
        <f t="shared" si="3"/>
        <v>96200</v>
      </c>
      <c r="O109" s="139">
        <f t="shared" si="4"/>
        <v>0.5817391304</v>
      </c>
      <c r="P109" s="140" t="str">
        <f t="shared" si="5"/>
        <v>Chompa Capucha S Perla</v>
      </c>
      <c r="Q109" s="105"/>
      <c r="R109" s="151">
        <f t="shared" si="6"/>
        <v>0</v>
      </c>
      <c r="T109" s="143">
        <f t="shared" si="7"/>
        <v>90000</v>
      </c>
      <c r="W109" s="144"/>
      <c r="X109" s="105">
        <f t="shared" si="8"/>
        <v>657000</v>
      </c>
      <c r="Y109" s="139">
        <f t="shared" si="9"/>
        <v>0.5607305936</v>
      </c>
      <c r="Z109" s="144"/>
      <c r="AA109" s="105">
        <f t="shared" si="10"/>
        <v>1278000</v>
      </c>
      <c r="AB109" s="139">
        <f t="shared" si="11"/>
        <v>0.5483568075</v>
      </c>
      <c r="AC109" s="144">
        <f t="shared" si="12"/>
        <v>207000</v>
      </c>
      <c r="AD109" s="105">
        <f t="shared" si="13"/>
        <v>2484000</v>
      </c>
      <c r="AE109" s="139">
        <f t="shared" si="14"/>
        <v>0.5352657005</v>
      </c>
    </row>
    <row r="110" ht="14.25" customHeight="1">
      <c r="A110" s="133" t="s">
        <v>630</v>
      </c>
      <c r="B110" s="132" t="s">
        <v>619</v>
      </c>
      <c r="C110" s="132" t="s">
        <v>632</v>
      </c>
      <c r="D110" s="132" t="s">
        <v>621</v>
      </c>
      <c r="E110" s="146">
        <v>2.0</v>
      </c>
      <c r="F110" s="135" t="str">
        <f>IF(A110="","",VLOOKUP(A110,'Cotizador Compras'!$A$5:$J$21,2,FALSE))</f>
        <v>YOUR BRAND</v>
      </c>
      <c r="G110" s="136">
        <f>IF(A110="","",VLOOKUP(A110,'Cotizador Compras'!$A$5:$J$21,3,FALSE))</f>
        <v>90000</v>
      </c>
      <c r="H110" s="105">
        <f>IF(OR(A110="",D110=""),"",IF(D110="Sin estampar",0,IF(D110="Pecho",VLOOKUP(A110,'Cotizador Compras'!$A$5:$J$21,4,FALSE),IF(D110="Espalda",VLOOKUP(A110,'Cotizador Compras'!$A$5:$J$21,5,FALSE),VLOOKUP(A110,'Cotizador Compras'!$A$5:$J$21,4,FALSE)+VLOOKUP(A110,'Cotizador Compras'!$A$5:$J$21,5,FALSE)))))</f>
        <v>3500</v>
      </c>
      <c r="I110" s="105">
        <f>IF(A110="","",VLOOKUP(A110,'Cotizador Compras'!$A$5:$J$21,6,FALSE))</f>
        <v>1700</v>
      </c>
      <c r="J110" s="105">
        <f>IF(A110="","",VLOOKUP(A110,'Cotizador Compras'!$A$5:$J$21,7,FALSE))</f>
        <v>1000</v>
      </c>
      <c r="K110" s="137">
        <f t="shared" si="1"/>
        <v>192400</v>
      </c>
      <c r="L110" s="105">
        <f>IF(A110="","",IF(D110="Sin estampar",VLOOKUP(A110,'Cotizador Compras'!$A$5:$J$21,8,FALSE),IF(D110="Pecho",VLOOKUP(A110,'Cotizador Compras'!$A$5:$J$21,10,FALSE),VLOOKUP(A110,'Cotizador Compras'!$A$5:$J$21,9,FALSE))))</f>
        <v>230000</v>
      </c>
      <c r="M110" s="138">
        <f t="shared" si="2"/>
        <v>460000</v>
      </c>
      <c r="N110" s="105">
        <f t="shared" si="3"/>
        <v>96200</v>
      </c>
      <c r="O110" s="139">
        <f t="shared" si="4"/>
        <v>0.5817391304</v>
      </c>
      <c r="P110" s="140" t="str">
        <f t="shared" si="5"/>
        <v>Chompa Capucha M Perla</v>
      </c>
      <c r="Q110" s="105"/>
      <c r="R110" s="151">
        <f t="shared" si="6"/>
        <v>0</v>
      </c>
      <c r="T110" s="143">
        <f t="shared" si="7"/>
        <v>180000</v>
      </c>
      <c r="W110" s="144"/>
      <c r="X110" s="105">
        <f t="shared" si="8"/>
        <v>657000</v>
      </c>
      <c r="Y110" s="139">
        <f t="shared" si="9"/>
        <v>0.5607305936</v>
      </c>
      <c r="Z110" s="144"/>
      <c r="AA110" s="105">
        <f t="shared" si="10"/>
        <v>1278000</v>
      </c>
      <c r="AB110" s="139">
        <f t="shared" si="11"/>
        <v>0.5483568075</v>
      </c>
      <c r="AC110" s="144">
        <f t="shared" si="12"/>
        <v>414000</v>
      </c>
      <c r="AD110" s="105">
        <f t="shared" si="13"/>
        <v>2484000</v>
      </c>
      <c r="AE110" s="139">
        <f t="shared" si="14"/>
        <v>0.5352657005</v>
      </c>
    </row>
    <row r="111" ht="14.25" customHeight="1">
      <c r="A111" s="133" t="s">
        <v>630</v>
      </c>
      <c r="B111" s="132" t="s">
        <v>623</v>
      </c>
      <c r="C111" s="132" t="s">
        <v>632</v>
      </c>
      <c r="D111" s="132" t="s">
        <v>621</v>
      </c>
      <c r="E111" s="146">
        <v>2.0</v>
      </c>
      <c r="F111" s="135" t="str">
        <f>IF(A111="","",VLOOKUP(A111,'Cotizador Compras'!$A$5:$J$21,2,FALSE))</f>
        <v>YOUR BRAND</v>
      </c>
      <c r="G111" s="136">
        <f>IF(A111="","",VLOOKUP(A111,'Cotizador Compras'!$A$5:$J$21,3,FALSE))</f>
        <v>90000</v>
      </c>
      <c r="H111" s="105">
        <f>IF(OR(A111="",D111=""),"",IF(D111="Sin estampar",0,IF(D111="Pecho",VLOOKUP(A111,'Cotizador Compras'!$A$5:$J$21,4,FALSE),IF(D111="Espalda",VLOOKUP(A111,'Cotizador Compras'!$A$5:$J$21,5,FALSE),VLOOKUP(A111,'Cotizador Compras'!$A$5:$J$21,4,FALSE)+VLOOKUP(A111,'Cotizador Compras'!$A$5:$J$21,5,FALSE)))))</f>
        <v>3500</v>
      </c>
      <c r="I111" s="105">
        <f>IF(A111="","",VLOOKUP(A111,'Cotizador Compras'!$A$5:$J$21,6,FALSE))</f>
        <v>1700</v>
      </c>
      <c r="J111" s="105">
        <f>IF(A111="","",VLOOKUP(A111,'Cotizador Compras'!$A$5:$J$21,7,FALSE))</f>
        <v>1000</v>
      </c>
      <c r="K111" s="137">
        <f t="shared" si="1"/>
        <v>192400</v>
      </c>
      <c r="L111" s="105">
        <f>IF(A111="","",IF(D111="Sin estampar",VLOOKUP(A111,'Cotizador Compras'!$A$5:$J$21,8,FALSE),IF(D111="Pecho",VLOOKUP(A111,'Cotizador Compras'!$A$5:$J$21,10,FALSE),VLOOKUP(A111,'Cotizador Compras'!$A$5:$J$21,9,FALSE))))</f>
        <v>230000</v>
      </c>
      <c r="M111" s="138">
        <f t="shared" si="2"/>
        <v>460000</v>
      </c>
      <c r="N111" s="105">
        <f t="shared" si="3"/>
        <v>96200</v>
      </c>
      <c r="O111" s="139">
        <f t="shared" si="4"/>
        <v>0.5817391304</v>
      </c>
      <c r="P111" s="140" t="str">
        <f t="shared" si="5"/>
        <v>Chompa Capucha L Perla</v>
      </c>
      <c r="Q111" s="105"/>
      <c r="R111" s="151">
        <f t="shared" si="6"/>
        <v>0</v>
      </c>
      <c r="T111" s="143">
        <f t="shared" si="7"/>
        <v>180000</v>
      </c>
      <c r="W111" s="144"/>
      <c r="X111" s="105">
        <f t="shared" si="8"/>
        <v>657000</v>
      </c>
      <c r="Y111" s="139">
        <f t="shared" si="9"/>
        <v>0.5607305936</v>
      </c>
      <c r="Z111" s="144"/>
      <c r="AA111" s="105">
        <f t="shared" si="10"/>
        <v>1278000</v>
      </c>
      <c r="AB111" s="139">
        <f t="shared" si="11"/>
        <v>0.5483568075</v>
      </c>
      <c r="AC111" s="144">
        <f t="shared" si="12"/>
        <v>414000</v>
      </c>
      <c r="AD111" s="105">
        <f t="shared" si="13"/>
        <v>2484000</v>
      </c>
      <c r="AE111" s="139">
        <f t="shared" si="14"/>
        <v>0.5352657005</v>
      </c>
    </row>
    <row r="112" ht="14.25" customHeight="1">
      <c r="A112" s="133" t="s">
        <v>630</v>
      </c>
      <c r="B112" s="132" t="s">
        <v>615</v>
      </c>
      <c r="C112" s="132" t="s">
        <v>638</v>
      </c>
      <c r="D112" s="132" t="s">
        <v>621</v>
      </c>
      <c r="E112" s="134">
        <v>1.0</v>
      </c>
      <c r="F112" s="135" t="str">
        <f>IF(A112="","",VLOOKUP(A112,'Cotizador Compras'!$A$5:$J$21,2,FALSE))</f>
        <v>YOUR BRAND</v>
      </c>
      <c r="G112" s="136">
        <f>IF(A112="","",VLOOKUP(A112,'Cotizador Compras'!$A$5:$J$21,3,FALSE))</f>
        <v>90000</v>
      </c>
      <c r="H112" s="105">
        <f>IF(OR(A112="",D112=""),"",IF(D112="Sin estampar",0,IF(D112="Pecho",VLOOKUP(A112,'Cotizador Compras'!$A$5:$J$21,4,FALSE),IF(D112="Espalda",VLOOKUP(A112,'Cotizador Compras'!$A$5:$J$21,5,FALSE),VLOOKUP(A112,'Cotizador Compras'!$A$5:$J$21,4,FALSE)+VLOOKUP(A112,'Cotizador Compras'!$A$5:$J$21,5,FALSE)))))</f>
        <v>3500</v>
      </c>
      <c r="I112" s="105">
        <f>IF(A112="","",VLOOKUP(A112,'Cotizador Compras'!$A$5:$J$21,6,FALSE))</f>
        <v>1700</v>
      </c>
      <c r="J112" s="105">
        <f>IF(A112="","",VLOOKUP(A112,'Cotizador Compras'!$A$5:$J$21,7,FALSE))</f>
        <v>1000</v>
      </c>
      <c r="K112" s="137">
        <f t="shared" si="1"/>
        <v>96200</v>
      </c>
      <c r="L112" s="105">
        <f>IF(A112="","",IF(D112="Sin estampar",VLOOKUP(A112,'Cotizador Compras'!$A$5:$J$21,8,FALSE),IF(D112="Pecho",VLOOKUP(A112,'Cotizador Compras'!$A$5:$J$21,10,FALSE),VLOOKUP(A112,'Cotizador Compras'!$A$5:$J$21,9,FALSE))))</f>
        <v>230000</v>
      </c>
      <c r="M112" s="138">
        <f t="shared" si="2"/>
        <v>230000</v>
      </c>
      <c r="N112" s="105">
        <f t="shared" si="3"/>
        <v>96200</v>
      </c>
      <c r="O112" s="139">
        <f t="shared" si="4"/>
        <v>0.5817391304</v>
      </c>
      <c r="P112" s="140" t="str">
        <f t="shared" si="5"/>
        <v>Chompa Capucha S Verde Botella</v>
      </c>
      <c r="Q112" s="105"/>
      <c r="R112" s="151">
        <f t="shared" si="6"/>
        <v>0</v>
      </c>
      <c r="T112" s="143">
        <f t="shared" si="7"/>
        <v>90000</v>
      </c>
      <c r="W112" s="144"/>
      <c r="X112" s="105">
        <f t="shared" si="8"/>
        <v>657000</v>
      </c>
      <c r="Y112" s="139">
        <f t="shared" si="9"/>
        <v>0.5607305936</v>
      </c>
      <c r="Z112" s="144"/>
      <c r="AA112" s="105">
        <f t="shared" si="10"/>
        <v>1278000</v>
      </c>
      <c r="AB112" s="139">
        <f t="shared" si="11"/>
        <v>0.5483568075</v>
      </c>
      <c r="AC112" s="144">
        <f t="shared" si="12"/>
        <v>207000</v>
      </c>
      <c r="AD112" s="105">
        <f t="shared" si="13"/>
        <v>2484000</v>
      </c>
      <c r="AE112" s="139">
        <f t="shared" si="14"/>
        <v>0.5352657005</v>
      </c>
    </row>
    <row r="113" ht="14.25" customHeight="1">
      <c r="A113" s="133" t="s">
        <v>630</v>
      </c>
      <c r="B113" s="132" t="s">
        <v>619</v>
      </c>
      <c r="C113" s="132" t="s">
        <v>638</v>
      </c>
      <c r="D113" s="132" t="s">
        <v>621</v>
      </c>
      <c r="E113" s="146">
        <v>2.0</v>
      </c>
      <c r="F113" s="135" t="str">
        <f>IF(A113="","",VLOOKUP(A113,'Cotizador Compras'!$A$5:$J$21,2,FALSE))</f>
        <v>YOUR BRAND</v>
      </c>
      <c r="G113" s="136">
        <f>IF(A113="","",VLOOKUP(A113,'Cotizador Compras'!$A$5:$J$21,3,FALSE))</f>
        <v>90000</v>
      </c>
      <c r="H113" s="105">
        <f>IF(OR(A113="",D113=""),"",IF(D113="Sin estampar",0,IF(D113="Pecho",VLOOKUP(A113,'Cotizador Compras'!$A$5:$J$21,4,FALSE),IF(D113="Espalda",VLOOKUP(A113,'Cotizador Compras'!$A$5:$J$21,5,FALSE),VLOOKUP(A113,'Cotizador Compras'!$A$5:$J$21,4,FALSE)+VLOOKUP(A113,'Cotizador Compras'!$A$5:$J$21,5,FALSE)))))</f>
        <v>3500</v>
      </c>
      <c r="I113" s="105">
        <f>IF(A113="","",VLOOKUP(A113,'Cotizador Compras'!$A$5:$J$21,6,FALSE))</f>
        <v>1700</v>
      </c>
      <c r="J113" s="105">
        <f>IF(A113="","",VLOOKUP(A113,'Cotizador Compras'!$A$5:$J$21,7,FALSE))</f>
        <v>1000</v>
      </c>
      <c r="K113" s="137">
        <f t="shared" si="1"/>
        <v>192400</v>
      </c>
      <c r="L113" s="105">
        <f>IF(A113="","",IF(D113="Sin estampar",VLOOKUP(A113,'Cotizador Compras'!$A$5:$J$21,8,FALSE),IF(D113="Pecho",VLOOKUP(A113,'Cotizador Compras'!$A$5:$J$21,10,FALSE),VLOOKUP(A113,'Cotizador Compras'!$A$5:$J$21,9,FALSE))))</f>
        <v>230000</v>
      </c>
      <c r="M113" s="138">
        <f t="shared" si="2"/>
        <v>460000</v>
      </c>
      <c r="N113" s="105">
        <f t="shared" si="3"/>
        <v>96200</v>
      </c>
      <c r="O113" s="139">
        <f t="shared" si="4"/>
        <v>0.5817391304</v>
      </c>
      <c r="P113" s="140" t="str">
        <f t="shared" si="5"/>
        <v>Chompa Capucha M Verde Botella</v>
      </c>
      <c r="Q113" s="105"/>
      <c r="R113" s="151">
        <f t="shared" si="6"/>
        <v>0</v>
      </c>
      <c r="T113" s="143">
        <f t="shared" si="7"/>
        <v>180000</v>
      </c>
      <c r="W113" s="144"/>
      <c r="X113" s="105">
        <f t="shared" si="8"/>
        <v>657000</v>
      </c>
      <c r="Y113" s="139">
        <f t="shared" si="9"/>
        <v>0.5607305936</v>
      </c>
      <c r="Z113" s="144"/>
      <c r="AA113" s="105">
        <f t="shared" si="10"/>
        <v>1278000</v>
      </c>
      <c r="AB113" s="139">
        <f t="shared" si="11"/>
        <v>0.5483568075</v>
      </c>
      <c r="AC113" s="144">
        <f t="shared" si="12"/>
        <v>414000</v>
      </c>
      <c r="AD113" s="105">
        <f t="shared" si="13"/>
        <v>2484000</v>
      </c>
      <c r="AE113" s="139">
        <f t="shared" si="14"/>
        <v>0.5352657005</v>
      </c>
    </row>
    <row r="114" ht="14.25" customHeight="1">
      <c r="A114" s="133" t="s">
        <v>630</v>
      </c>
      <c r="B114" s="132" t="s">
        <v>623</v>
      </c>
      <c r="C114" s="132" t="s">
        <v>638</v>
      </c>
      <c r="D114" s="132" t="s">
        <v>621</v>
      </c>
      <c r="E114" s="146">
        <v>2.0</v>
      </c>
      <c r="F114" s="135" t="str">
        <f>IF(A114="","",VLOOKUP(A114,'Cotizador Compras'!$A$5:$J$21,2,FALSE))</f>
        <v>YOUR BRAND</v>
      </c>
      <c r="G114" s="136">
        <f>IF(A114="","",VLOOKUP(A114,'Cotizador Compras'!$A$5:$J$21,3,FALSE))</f>
        <v>90000</v>
      </c>
      <c r="H114" s="105">
        <f>IF(OR(A114="",D114=""),"",IF(D114="Sin estampar",0,IF(D114="Pecho",VLOOKUP(A114,'Cotizador Compras'!$A$5:$J$21,4,FALSE),IF(D114="Espalda",VLOOKUP(A114,'Cotizador Compras'!$A$5:$J$21,5,FALSE),VLOOKUP(A114,'Cotizador Compras'!$A$5:$J$21,4,FALSE)+VLOOKUP(A114,'Cotizador Compras'!$A$5:$J$21,5,FALSE)))))</f>
        <v>3500</v>
      </c>
      <c r="I114" s="105">
        <f>IF(A114="","",VLOOKUP(A114,'Cotizador Compras'!$A$5:$J$21,6,FALSE))</f>
        <v>1700</v>
      </c>
      <c r="J114" s="105">
        <f>IF(A114="","",VLOOKUP(A114,'Cotizador Compras'!$A$5:$J$21,7,FALSE))</f>
        <v>1000</v>
      </c>
      <c r="K114" s="137">
        <f t="shared" si="1"/>
        <v>192400</v>
      </c>
      <c r="L114" s="105">
        <f>IF(A114="","",IF(D114="Sin estampar",VLOOKUP(A114,'Cotizador Compras'!$A$5:$J$21,8,FALSE),IF(D114="Pecho",VLOOKUP(A114,'Cotizador Compras'!$A$5:$J$21,10,FALSE),VLOOKUP(A114,'Cotizador Compras'!$A$5:$J$21,9,FALSE))))</f>
        <v>230000</v>
      </c>
      <c r="M114" s="138">
        <f t="shared" si="2"/>
        <v>460000</v>
      </c>
      <c r="N114" s="105">
        <f t="shared" si="3"/>
        <v>96200</v>
      </c>
      <c r="O114" s="139">
        <f t="shared" si="4"/>
        <v>0.5817391304</v>
      </c>
      <c r="P114" s="140" t="str">
        <f t="shared" si="5"/>
        <v>Chompa Capucha L Verde Botella</v>
      </c>
      <c r="Q114" s="105"/>
      <c r="R114" s="151">
        <f t="shared" si="6"/>
        <v>0</v>
      </c>
      <c r="T114" s="143">
        <f t="shared" si="7"/>
        <v>180000</v>
      </c>
      <c r="W114" s="144"/>
      <c r="X114" s="105">
        <f t="shared" si="8"/>
        <v>657000</v>
      </c>
      <c r="Y114" s="139">
        <f t="shared" si="9"/>
        <v>0.5607305936</v>
      </c>
      <c r="Z114" s="144"/>
      <c r="AA114" s="105">
        <f t="shared" si="10"/>
        <v>1278000</v>
      </c>
      <c r="AB114" s="139">
        <f t="shared" si="11"/>
        <v>0.5483568075</v>
      </c>
      <c r="AC114" s="144">
        <f t="shared" si="12"/>
        <v>414000</v>
      </c>
      <c r="AD114" s="105">
        <f t="shared" si="13"/>
        <v>2484000</v>
      </c>
      <c r="AE114" s="139">
        <f t="shared" si="14"/>
        <v>0.5352657005</v>
      </c>
    </row>
    <row r="115" ht="14.25" customHeight="1">
      <c r="A115" s="133" t="s">
        <v>630</v>
      </c>
      <c r="B115" s="132" t="s">
        <v>615</v>
      </c>
      <c r="C115" s="132" t="s">
        <v>624</v>
      </c>
      <c r="D115" s="132" t="s">
        <v>621</v>
      </c>
      <c r="E115" s="134">
        <v>1.0</v>
      </c>
      <c r="F115" s="135" t="str">
        <f>IF(A115="","",VLOOKUP(A115,'Cotizador Compras'!$A$5:$J$21,2,FALSE))</f>
        <v>YOUR BRAND</v>
      </c>
      <c r="G115" s="136">
        <f>IF(A115="","",VLOOKUP(A115,'Cotizador Compras'!$A$5:$J$21,3,FALSE))</f>
        <v>90000</v>
      </c>
      <c r="H115" s="105">
        <f>IF(OR(A115="",D115=""),"",IF(D115="Sin estampar",0,IF(D115="Pecho",VLOOKUP(A115,'Cotizador Compras'!$A$5:$J$21,4,FALSE),IF(D115="Espalda",VLOOKUP(A115,'Cotizador Compras'!$A$5:$J$21,5,FALSE),VLOOKUP(A115,'Cotizador Compras'!$A$5:$J$21,4,FALSE)+VLOOKUP(A115,'Cotizador Compras'!$A$5:$J$21,5,FALSE)))))</f>
        <v>3500</v>
      </c>
      <c r="I115" s="105">
        <f>IF(A115="","",VLOOKUP(A115,'Cotizador Compras'!$A$5:$J$21,6,FALSE))</f>
        <v>1700</v>
      </c>
      <c r="J115" s="105">
        <f>IF(A115="","",VLOOKUP(A115,'Cotizador Compras'!$A$5:$J$21,7,FALSE))</f>
        <v>1000</v>
      </c>
      <c r="K115" s="137">
        <f t="shared" si="1"/>
        <v>96200</v>
      </c>
      <c r="L115" s="105">
        <f>IF(A115="","",IF(D115="Sin estampar",VLOOKUP(A115,'Cotizador Compras'!$A$5:$J$21,8,FALSE),IF(D115="Pecho",VLOOKUP(A115,'Cotizador Compras'!$A$5:$J$21,10,FALSE),VLOOKUP(A115,'Cotizador Compras'!$A$5:$J$21,9,FALSE))))</f>
        <v>230000</v>
      </c>
      <c r="M115" s="138">
        <f t="shared" si="2"/>
        <v>230000</v>
      </c>
      <c r="N115" s="105">
        <f t="shared" si="3"/>
        <v>96200</v>
      </c>
      <c r="O115" s="139">
        <f t="shared" si="4"/>
        <v>0.5817391304</v>
      </c>
      <c r="P115" s="140" t="str">
        <f t="shared" si="5"/>
        <v>Chompa Capucha S Plomo Plata</v>
      </c>
      <c r="Q115" s="105"/>
      <c r="R115" s="151">
        <f t="shared" si="6"/>
        <v>0</v>
      </c>
      <c r="T115" s="143">
        <f t="shared" si="7"/>
        <v>90000</v>
      </c>
      <c r="W115" s="144"/>
      <c r="X115" s="105">
        <f t="shared" si="8"/>
        <v>657000</v>
      </c>
      <c r="Y115" s="139">
        <f t="shared" si="9"/>
        <v>0.5607305936</v>
      </c>
      <c r="Z115" s="144"/>
      <c r="AA115" s="105">
        <f t="shared" si="10"/>
        <v>1278000</v>
      </c>
      <c r="AB115" s="139">
        <f t="shared" si="11"/>
        <v>0.5483568075</v>
      </c>
      <c r="AC115" s="144">
        <f t="shared" si="12"/>
        <v>207000</v>
      </c>
      <c r="AD115" s="105">
        <f t="shared" si="13"/>
        <v>2484000</v>
      </c>
      <c r="AE115" s="139">
        <f t="shared" si="14"/>
        <v>0.5352657005</v>
      </c>
    </row>
    <row r="116" ht="14.25" customHeight="1">
      <c r="A116" s="133" t="s">
        <v>630</v>
      </c>
      <c r="B116" s="132" t="s">
        <v>619</v>
      </c>
      <c r="C116" s="132" t="s">
        <v>624</v>
      </c>
      <c r="D116" s="132" t="s">
        <v>621</v>
      </c>
      <c r="E116" s="146">
        <v>2.0</v>
      </c>
      <c r="F116" s="135" t="str">
        <f>IF(A116="","",VLOOKUP(A116,'Cotizador Compras'!$A$5:$J$21,2,FALSE))</f>
        <v>YOUR BRAND</v>
      </c>
      <c r="G116" s="136">
        <f>IF(A116="","",VLOOKUP(A116,'Cotizador Compras'!$A$5:$J$21,3,FALSE))</f>
        <v>90000</v>
      </c>
      <c r="H116" s="105">
        <f>IF(OR(A116="",D116=""),"",IF(D116="Sin estampar",0,IF(D116="Pecho",VLOOKUP(A116,'Cotizador Compras'!$A$5:$J$21,4,FALSE),IF(D116="Espalda",VLOOKUP(A116,'Cotizador Compras'!$A$5:$J$21,5,FALSE),VLOOKUP(A116,'Cotizador Compras'!$A$5:$J$21,4,FALSE)+VLOOKUP(A116,'Cotizador Compras'!$A$5:$J$21,5,FALSE)))))</f>
        <v>3500</v>
      </c>
      <c r="I116" s="105">
        <f>IF(A116="","",VLOOKUP(A116,'Cotizador Compras'!$A$5:$J$21,6,FALSE))</f>
        <v>1700</v>
      </c>
      <c r="J116" s="105">
        <f>IF(A116="","",VLOOKUP(A116,'Cotizador Compras'!$A$5:$J$21,7,FALSE))</f>
        <v>1000</v>
      </c>
      <c r="K116" s="137">
        <f t="shared" si="1"/>
        <v>192400</v>
      </c>
      <c r="L116" s="105">
        <f>IF(A116="","",IF(D116="Sin estampar",VLOOKUP(A116,'Cotizador Compras'!$A$5:$J$21,8,FALSE),IF(D116="Pecho",VLOOKUP(A116,'Cotizador Compras'!$A$5:$J$21,10,FALSE),VLOOKUP(A116,'Cotizador Compras'!$A$5:$J$21,9,FALSE))))</f>
        <v>230000</v>
      </c>
      <c r="M116" s="138">
        <f t="shared" si="2"/>
        <v>460000</v>
      </c>
      <c r="N116" s="105">
        <f t="shared" si="3"/>
        <v>96200</v>
      </c>
      <c r="O116" s="139">
        <f t="shared" si="4"/>
        <v>0.5817391304</v>
      </c>
      <c r="P116" s="140" t="str">
        <f t="shared" si="5"/>
        <v>Chompa Capucha M Plomo Plata</v>
      </c>
      <c r="Q116" s="105"/>
      <c r="R116" s="151">
        <f t="shared" si="6"/>
        <v>0</v>
      </c>
      <c r="T116" s="143">
        <f t="shared" si="7"/>
        <v>180000</v>
      </c>
      <c r="W116" s="144"/>
      <c r="X116" s="105">
        <f t="shared" si="8"/>
        <v>657000</v>
      </c>
      <c r="Y116" s="139">
        <f t="shared" si="9"/>
        <v>0.5607305936</v>
      </c>
      <c r="Z116" s="144"/>
      <c r="AA116" s="105">
        <f t="shared" si="10"/>
        <v>1278000</v>
      </c>
      <c r="AB116" s="139">
        <f t="shared" si="11"/>
        <v>0.5483568075</v>
      </c>
      <c r="AC116" s="144">
        <f t="shared" si="12"/>
        <v>414000</v>
      </c>
      <c r="AD116" s="105">
        <f t="shared" si="13"/>
        <v>2484000</v>
      </c>
      <c r="AE116" s="139">
        <f t="shared" si="14"/>
        <v>0.5352657005</v>
      </c>
    </row>
    <row r="117" ht="14.25" customHeight="1">
      <c r="A117" s="133" t="s">
        <v>630</v>
      </c>
      <c r="B117" s="132" t="s">
        <v>623</v>
      </c>
      <c r="C117" s="132" t="s">
        <v>624</v>
      </c>
      <c r="D117" s="132" t="s">
        <v>621</v>
      </c>
      <c r="E117" s="146">
        <v>2.0</v>
      </c>
      <c r="F117" s="135" t="str">
        <f>IF(A117="","",VLOOKUP(A117,'Cotizador Compras'!$A$5:$J$21,2,FALSE))</f>
        <v>YOUR BRAND</v>
      </c>
      <c r="G117" s="136">
        <f>IF(A117="","",VLOOKUP(A117,'Cotizador Compras'!$A$5:$J$21,3,FALSE))</f>
        <v>90000</v>
      </c>
      <c r="H117" s="105">
        <f>IF(OR(A117="",D117=""),"",IF(D117="Sin estampar",0,IF(D117="Pecho",VLOOKUP(A117,'Cotizador Compras'!$A$5:$J$21,4,FALSE),IF(D117="Espalda",VLOOKUP(A117,'Cotizador Compras'!$A$5:$J$21,5,FALSE),VLOOKUP(A117,'Cotizador Compras'!$A$5:$J$21,4,FALSE)+VLOOKUP(A117,'Cotizador Compras'!$A$5:$J$21,5,FALSE)))))</f>
        <v>3500</v>
      </c>
      <c r="I117" s="105">
        <f>IF(A117="","",VLOOKUP(A117,'Cotizador Compras'!$A$5:$J$21,6,FALSE))</f>
        <v>1700</v>
      </c>
      <c r="J117" s="105">
        <f>IF(A117="","",VLOOKUP(A117,'Cotizador Compras'!$A$5:$J$21,7,FALSE))</f>
        <v>1000</v>
      </c>
      <c r="K117" s="137">
        <f t="shared" si="1"/>
        <v>192400</v>
      </c>
      <c r="L117" s="105">
        <f>IF(A117="","",IF(D117="Sin estampar",VLOOKUP(A117,'Cotizador Compras'!$A$5:$J$21,8,FALSE),IF(D117="Pecho",VLOOKUP(A117,'Cotizador Compras'!$A$5:$J$21,10,FALSE),VLOOKUP(A117,'Cotizador Compras'!$A$5:$J$21,9,FALSE))))</f>
        <v>230000</v>
      </c>
      <c r="M117" s="138">
        <f t="shared" si="2"/>
        <v>460000</v>
      </c>
      <c r="N117" s="105">
        <f t="shared" si="3"/>
        <v>96200</v>
      </c>
      <c r="O117" s="139">
        <f t="shared" si="4"/>
        <v>0.5817391304</v>
      </c>
      <c r="P117" s="140" t="str">
        <f t="shared" si="5"/>
        <v>Chompa Capucha L Plomo Plata</v>
      </c>
      <c r="Q117" s="105"/>
      <c r="R117" s="151">
        <f t="shared" si="6"/>
        <v>0</v>
      </c>
      <c r="T117" s="143">
        <f t="shared" si="7"/>
        <v>180000</v>
      </c>
      <c r="W117" s="144"/>
      <c r="X117" s="105">
        <f t="shared" si="8"/>
        <v>657000</v>
      </c>
      <c r="Y117" s="139">
        <f t="shared" si="9"/>
        <v>0.5607305936</v>
      </c>
      <c r="Z117" s="144"/>
      <c r="AA117" s="105">
        <f t="shared" si="10"/>
        <v>1278000</v>
      </c>
      <c r="AB117" s="139">
        <f t="shared" si="11"/>
        <v>0.5483568075</v>
      </c>
      <c r="AC117" s="144">
        <f t="shared" si="12"/>
        <v>414000</v>
      </c>
      <c r="AD117" s="105">
        <f t="shared" si="13"/>
        <v>2484000</v>
      </c>
      <c r="AE117" s="139">
        <f t="shared" si="14"/>
        <v>0.5352657005</v>
      </c>
    </row>
    <row r="118" ht="14.25" customHeight="1">
      <c r="A118" s="132" t="s">
        <v>639</v>
      </c>
      <c r="B118" s="132" t="s">
        <v>619</v>
      </c>
      <c r="C118" s="133" t="s">
        <v>616</v>
      </c>
      <c r="D118" s="133" t="s">
        <v>617</v>
      </c>
      <c r="E118" s="146">
        <v>2.0</v>
      </c>
      <c r="F118" s="135" t="str">
        <f>IF(A118="","",VLOOKUP(A118,'Cotizador Compras'!$A$5:$J$21,2,FALSE))</f>
        <v>AUREN</v>
      </c>
      <c r="G118" s="136">
        <f>IF(A118="","",VLOOKUP(A118,'Cotizador Compras'!$A$5:$J$21,3,FALSE))</f>
        <v>55000</v>
      </c>
      <c r="H118" s="105">
        <f>IF(OR(A118="",D118=""),"",IF(D118="Sin estampar",0,IF(D118="Pecho",VLOOKUP(A118,'Cotizador Compras'!$A$5:$J$21,4,FALSE),IF(D118="Espalda",VLOOKUP(A118,'Cotizador Compras'!$A$5:$J$21,5,FALSE),VLOOKUP(A118,'Cotizador Compras'!$A$5:$J$21,4,FALSE)+VLOOKUP(A118,'Cotizador Compras'!$A$5:$J$21,5,FALSE)))))</f>
        <v>0</v>
      </c>
      <c r="I118" s="105">
        <f>IF(A118="","",VLOOKUP(A118,'Cotizador Compras'!$A$5:$J$21,6,FALSE))</f>
        <v>1700</v>
      </c>
      <c r="J118" s="105">
        <f>IF(A118="","",VLOOKUP(A118,'Cotizador Compras'!$A$5:$J$21,7,FALSE))</f>
        <v>1000</v>
      </c>
      <c r="K118" s="137">
        <f t="shared" si="1"/>
        <v>115400</v>
      </c>
      <c r="L118" s="105">
        <f>IF(A118="","",IF(D118="Sin estampar",VLOOKUP(A118,'Cotizador Compras'!$A$5:$J$21,8,FALSE),IF(D118="Pecho",VLOOKUP(A118,'Cotizador Compras'!$A$5:$J$21,10,FALSE),VLOOKUP(A118,'Cotizador Compras'!$A$5:$J$21,9,FALSE))))</f>
        <v>120000</v>
      </c>
      <c r="M118" s="138">
        <f t="shared" si="2"/>
        <v>240000</v>
      </c>
      <c r="N118" s="105">
        <f t="shared" si="3"/>
        <v>57700</v>
      </c>
      <c r="O118" s="139">
        <f t="shared" si="4"/>
        <v>0.5191666667</v>
      </c>
      <c r="P118" s="140" t="str">
        <f t="shared" si="5"/>
        <v>Buzo Cuello Redondo Oversized M Negro</v>
      </c>
      <c r="Q118" s="105"/>
      <c r="R118" s="151">
        <f t="shared" si="6"/>
        <v>0</v>
      </c>
      <c r="T118" s="143">
        <f t="shared" si="7"/>
        <v>110000</v>
      </c>
      <c r="W118" s="144"/>
      <c r="X118" s="105">
        <f t="shared" si="8"/>
        <v>342000</v>
      </c>
      <c r="Y118" s="139">
        <f t="shared" si="9"/>
        <v>0.4938596491</v>
      </c>
      <c r="Z118" s="144"/>
      <c r="AA118" s="105">
        <f t="shared" si="10"/>
        <v>666000</v>
      </c>
      <c r="AB118" s="139">
        <f t="shared" si="11"/>
        <v>0.4801801802</v>
      </c>
      <c r="AC118" s="144">
        <f t="shared" si="12"/>
        <v>216000</v>
      </c>
      <c r="AD118" s="105">
        <f t="shared" si="13"/>
        <v>1296000</v>
      </c>
      <c r="AE118" s="139">
        <f t="shared" si="14"/>
        <v>0.4657407407</v>
      </c>
    </row>
    <row r="119" ht="14.25" customHeight="1">
      <c r="A119" s="132" t="s">
        <v>639</v>
      </c>
      <c r="B119" s="132" t="s">
        <v>623</v>
      </c>
      <c r="C119" s="133" t="s">
        <v>616</v>
      </c>
      <c r="D119" s="133" t="s">
        <v>617</v>
      </c>
      <c r="E119" s="146">
        <v>2.0</v>
      </c>
      <c r="F119" s="135" t="str">
        <f>IF(A119="","",VLOOKUP(A119,'Cotizador Compras'!$A$5:$J$21,2,FALSE))</f>
        <v>AUREN</v>
      </c>
      <c r="G119" s="136">
        <f>IF(A119="","",VLOOKUP(A119,'Cotizador Compras'!$A$5:$J$21,3,FALSE))</f>
        <v>55000</v>
      </c>
      <c r="H119" s="105">
        <f>IF(OR(A119="",D119=""),"",IF(D119="Sin estampar",0,IF(D119="Pecho",VLOOKUP(A119,'Cotizador Compras'!$A$5:$J$21,4,FALSE),IF(D119="Espalda",VLOOKUP(A119,'Cotizador Compras'!$A$5:$J$21,5,FALSE),VLOOKUP(A119,'Cotizador Compras'!$A$5:$J$21,4,FALSE)+VLOOKUP(A119,'Cotizador Compras'!$A$5:$J$21,5,FALSE)))))</f>
        <v>0</v>
      </c>
      <c r="I119" s="105">
        <f>IF(A119="","",VLOOKUP(A119,'Cotizador Compras'!$A$5:$J$21,6,FALSE))</f>
        <v>1700</v>
      </c>
      <c r="J119" s="105">
        <f>IF(A119="","",VLOOKUP(A119,'Cotizador Compras'!$A$5:$J$21,7,FALSE))</f>
        <v>1000</v>
      </c>
      <c r="K119" s="137">
        <f t="shared" si="1"/>
        <v>115400</v>
      </c>
      <c r="L119" s="105">
        <f>IF(A119="","",IF(D119="Sin estampar",VLOOKUP(A119,'Cotizador Compras'!$A$5:$J$21,8,FALSE),IF(D119="Pecho",VLOOKUP(A119,'Cotizador Compras'!$A$5:$J$21,10,FALSE),VLOOKUP(A119,'Cotizador Compras'!$A$5:$J$21,9,FALSE))))</f>
        <v>120000</v>
      </c>
      <c r="M119" s="138">
        <f t="shared" si="2"/>
        <v>240000</v>
      </c>
      <c r="N119" s="105">
        <f t="shared" si="3"/>
        <v>57700</v>
      </c>
      <c r="O119" s="139">
        <f t="shared" si="4"/>
        <v>0.5191666667</v>
      </c>
      <c r="P119" s="140" t="str">
        <f t="shared" si="5"/>
        <v>Buzo Cuello Redondo Oversized L Negro</v>
      </c>
      <c r="Q119" s="105"/>
      <c r="R119" s="151">
        <f t="shared" si="6"/>
        <v>0</v>
      </c>
      <c r="T119" s="143">
        <f t="shared" si="7"/>
        <v>110000</v>
      </c>
      <c r="W119" s="144"/>
      <c r="X119" s="105">
        <f t="shared" si="8"/>
        <v>342000</v>
      </c>
      <c r="Y119" s="139">
        <f t="shared" si="9"/>
        <v>0.4938596491</v>
      </c>
      <c r="Z119" s="144"/>
      <c r="AA119" s="105">
        <f t="shared" si="10"/>
        <v>666000</v>
      </c>
      <c r="AB119" s="139">
        <f t="shared" si="11"/>
        <v>0.4801801802</v>
      </c>
      <c r="AC119" s="144">
        <f t="shared" si="12"/>
        <v>216000</v>
      </c>
      <c r="AD119" s="105">
        <f t="shared" si="13"/>
        <v>1296000</v>
      </c>
      <c r="AE119" s="139">
        <f t="shared" si="14"/>
        <v>0.4657407407</v>
      </c>
    </row>
    <row r="120" ht="14.25" customHeight="1">
      <c r="A120" s="132" t="s">
        <v>639</v>
      </c>
      <c r="B120" s="132" t="s">
        <v>627</v>
      </c>
      <c r="C120" s="133" t="s">
        <v>616</v>
      </c>
      <c r="D120" s="133" t="s">
        <v>617</v>
      </c>
      <c r="E120" s="146">
        <v>2.0</v>
      </c>
      <c r="F120" s="135" t="str">
        <f>IF(A120="","",VLOOKUP(A120,'Cotizador Compras'!$A$5:$J$21,2,FALSE))</f>
        <v>AUREN</v>
      </c>
      <c r="G120" s="136">
        <f>IF(A120="","",VLOOKUP(A120,'Cotizador Compras'!$A$5:$J$21,3,FALSE))</f>
        <v>55000</v>
      </c>
      <c r="H120" s="105">
        <f>IF(OR(A120="",D120=""),"",IF(D120="Sin estampar",0,IF(D120="Pecho",VLOOKUP(A120,'Cotizador Compras'!$A$5:$J$21,4,FALSE),IF(D120="Espalda",VLOOKUP(A120,'Cotizador Compras'!$A$5:$J$21,5,FALSE),VLOOKUP(A120,'Cotizador Compras'!$A$5:$J$21,4,FALSE)+VLOOKUP(A120,'Cotizador Compras'!$A$5:$J$21,5,FALSE)))))</f>
        <v>0</v>
      </c>
      <c r="I120" s="105">
        <f>IF(A120="","",VLOOKUP(A120,'Cotizador Compras'!$A$5:$J$21,6,FALSE))</f>
        <v>1700</v>
      </c>
      <c r="J120" s="105">
        <f>IF(A120="","",VLOOKUP(A120,'Cotizador Compras'!$A$5:$J$21,7,FALSE))</f>
        <v>1000</v>
      </c>
      <c r="K120" s="137">
        <f t="shared" si="1"/>
        <v>115400</v>
      </c>
      <c r="L120" s="105">
        <f>IF(A120="","",IF(D120="Sin estampar",VLOOKUP(A120,'Cotizador Compras'!$A$5:$J$21,8,FALSE),IF(D120="Pecho",VLOOKUP(A120,'Cotizador Compras'!$A$5:$J$21,10,FALSE),VLOOKUP(A120,'Cotizador Compras'!$A$5:$J$21,9,FALSE))))</f>
        <v>120000</v>
      </c>
      <c r="M120" s="138">
        <f t="shared" si="2"/>
        <v>240000</v>
      </c>
      <c r="N120" s="105">
        <f t="shared" si="3"/>
        <v>57700</v>
      </c>
      <c r="O120" s="139">
        <f t="shared" si="4"/>
        <v>0.5191666667</v>
      </c>
      <c r="P120" s="140" t="str">
        <f t="shared" si="5"/>
        <v>Buzo Cuello Redondo Oversized XL Negro</v>
      </c>
      <c r="Q120" s="105"/>
      <c r="R120" s="151">
        <f t="shared" si="6"/>
        <v>0</v>
      </c>
      <c r="T120" s="143">
        <f t="shared" si="7"/>
        <v>110000</v>
      </c>
      <c r="W120" s="144"/>
      <c r="X120" s="105">
        <f t="shared" si="8"/>
        <v>342000</v>
      </c>
      <c r="Y120" s="139">
        <f t="shared" si="9"/>
        <v>0.4938596491</v>
      </c>
      <c r="Z120" s="144"/>
      <c r="AA120" s="105">
        <f t="shared" si="10"/>
        <v>666000</v>
      </c>
      <c r="AB120" s="139">
        <f t="shared" si="11"/>
        <v>0.4801801802</v>
      </c>
      <c r="AC120" s="144">
        <f t="shared" si="12"/>
        <v>216000</v>
      </c>
      <c r="AD120" s="105">
        <f t="shared" si="13"/>
        <v>1296000</v>
      </c>
      <c r="AE120" s="139">
        <f t="shared" si="14"/>
        <v>0.4657407407</v>
      </c>
    </row>
    <row r="121" ht="14.25" customHeight="1">
      <c r="A121" s="132" t="s">
        <v>639</v>
      </c>
      <c r="B121" s="132" t="s">
        <v>619</v>
      </c>
      <c r="C121" s="132" t="s">
        <v>628</v>
      </c>
      <c r="D121" s="133" t="s">
        <v>617</v>
      </c>
      <c r="E121" s="146">
        <v>2.0</v>
      </c>
      <c r="F121" s="135" t="str">
        <f>IF(A121="","",VLOOKUP(A121,'Cotizador Compras'!$A$5:$J$21,2,FALSE))</f>
        <v>AUREN</v>
      </c>
      <c r="G121" s="136">
        <f>IF(A121="","",VLOOKUP(A121,'Cotizador Compras'!$A$5:$J$21,3,FALSE))</f>
        <v>55000</v>
      </c>
      <c r="H121" s="105">
        <f>IF(OR(A121="",D121=""),"",IF(D121="Sin estampar",0,IF(D121="Pecho",VLOOKUP(A121,'Cotizador Compras'!$A$5:$J$21,4,FALSE),IF(D121="Espalda",VLOOKUP(A121,'Cotizador Compras'!$A$5:$J$21,5,FALSE),VLOOKUP(A121,'Cotizador Compras'!$A$5:$J$21,4,FALSE)+VLOOKUP(A121,'Cotizador Compras'!$A$5:$J$21,5,FALSE)))))</f>
        <v>0</v>
      </c>
      <c r="I121" s="105">
        <f>IF(A121="","",VLOOKUP(A121,'Cotizador Compras'!$A$5:$J$21,6,FALSE))</f>
        <v>1700</v>
      </c>
      <c r="J121" s="105">
        <f>IF(A121="","",VLOOKUP(A121,'Cotizador Compras'!$A$5:$J$21,7,FALSE))</f>
        <v>1000</v>
      </c>
      <c r="K121" s="137">
        <f t="shared" si="1"/>
        <v>115400</v>
      </c>
      <c r="L121" s="105">
        <f>IF(A121="","",IF(D121="Sin estampar",VLOOKUP(A121,'Cotizador Compras'!$A$5:$J$21,8,FALSE),IF(D121="Pecho",VLOOKUP(A121,'Cotizador Compras'!$A$5:$J$21,10,FALSE),VLOOKUP(A121,'Cotizador Compras'!$A$5:$J$21,9,FALSE))))</f>
        <v>120000</v>
      </c>
      <c r="M121" s="138">
        <f t="shared" si="2"/>
        <v>240000</v>
      </c>
      <c r="N121" s="105">
        <f t="shared" si="3"/>
        <v>57700</v>
      </c>
      <c r="O121" s="139">
        <f t="shared" si="4"/>
        <v>0.5191666667</v>
      </c>
      <c r="P121" s="140" t="str">
        <f t="shared" si="5"/>
        <v>Buzo Cuello Redondo Oversized M Beige</v>
      </c>
      <c r="Q121" s="105"/>
      <c r="R121" s="151">
        <f t="shared" si="6"/>
        <v>0</v>
      </c>
      <c r="T121" s="143">
        <f t="shared" si="7"/>
        <v>110000</v>
      </c>
      <c r="W121" s="144"/>
      <c r="X121" s="105">
        <f t="shared" si="8"/>
        <v>342000</v>
      </c>
      <c r="Y121" s="139">
        <f t="shared" si="9"/>
        <v>0.4938596491</v>
      </c>
      <c r="Z121" s="144"/>
      <c r="AA121" s="105">
        <f t="shared" si="10"/>
        <v>666000</v>
      </c>
      <c r="AB121" s="139">
        <f t="shared" si="11"/>
        <v>0.4801801802</v>
      </c>
      <c r="AC121" s="144">
        <f t="shared" si="12"/>
        <v>216000</v>
      </c>
      <c r="AD121" s="105">
        <f t="shared" si="13"/>
        <v>1296000</v>
      </c>
      <c r="AE121" s="139">
        <f t="shared" si="14"/>
        <v>0.4657407407</v>
      </c>
    </row>
    <row r="122" ht="14.25" customHeight="1">
      <c r="A122" s="132" t="s">
        <v>639</v>
      </c>
      <c r="B122" s="132" t="s">
        <v>623</v>
      </c>
      <c r="C122" s="132" t="s">
        <v>628</v>
      </c>
      <c r="D122" s="133" t="s">
        <v>617</v>
      </c>
      <c r="E122" s="146">
        <v>2.0</v>
      </c>
      <c r="F122" s="135" t="str">
        <f>IF(A122="","",VLOOKUP(A122,'Cotizador Compras'!$A$5:$J$21,2,FALSE))</f>
        <v>AUREN</v>
      </c>
      <c r="G122" s="136">
        <f>IF(A122="","",VLOOKUP(A122,'Cotizador Compras'!$A$5:$J$21,3,FALSE))</f>
        <v>55000</v>
      </c>
      <c r="H122" s="105">
        <f>IF(OR(A122="",D122=""),"",IF(D122="Sin estampar",0,IF(D122="Pecho",VLOOKUP(A122,'Cotizador Compras'!$A$5:$J$21,4,FALSE),IF(D122="Espalda",VLOOKUP(A122,'Cotizador Compras'!$A$5:$J$21,5,FALSE),VLOOKUP(A122,'Cotizador Compras'!$A$5:$J$21,4,FALSE)+VLOOKUP(A122,'Cotizador Compras'!$A$5:$J$21,5,FALSE)))))</f>
        <v>0</v>
      </c>
      <c r="I122" s="105">
        <f>IF(A122="","",VLOOKUP(A122,'Cotizador Compras'!$A$5:$J$21,6,FALSE))</f>
        <v>1700</v>
      </c>
      <c r="J122" s="105">
        <f>IF(A122="","",VLOOKUP(A122,'Cotizador Compras'!$A$5:$J$21,7,FALSE))</f>
        <v>1000</v>
      </c>
      <c r="K122" s="137">
        <f t="shared" si="1"/>
        <v>115400</v>
      </c>
      <c r="L122" s="105">
        <f>IF(A122="","",IF(D122="Sin estampar",VLOOKUP(A122,'Cotizador Compras'!$A$5:$J$21,8,FALSE),IF(D122="Pecho",VLOOKUP(A122,'Cotizador Compras'!$A$5:$J$21,10,FALSE),VLOOKUP(A122,'Cotizador Compras'!$A$5:$J$21,9,FALSE))))</f>
        <v>120000</v>
      </c>
      <c r="M122" s="138">
        <f t="shared" si="2"/>
        <v>240000</v>
      </c>
      <c r="N122" s="105">
        <f t="shared" si="3"/>
        <v>57700</v>
      </c>
      <c r="O122" s="139">
        <f t="shared" si="4"/>
        <v>0.5191666667</v>
      </c>
      <c r="P122" s="140" t="str">
        <f t="shared" si="5"/>
        <v>Buzo Cuello Redondo Oversized L Beige</v>
      </c>
      <c r="Q122" s="105"/>
      <c r="R122" s="151">
        <f t="shared" si="6"/>
        <v>0</v>
      </c>
      <c r="T122" s="143">
        <f t="shared" si="7"/>
        <v>110000</v>
      </c>
      <c r="W122" s="144"/>
      <c r="X122" s="105">
        <f t="shared" si="8"/>
        <v>342000</v>
      </c>
      <c r="Y122" s="139">
        <f t="shared" si="9"/>
        <v>0.4938596491</v>
      </c>
      <c r="Z122" s="144"/>
      <c r="AA122" s="105">
        <f t="shared" si="10"/>
        <v>666000</v>
      </c>
      <c r="AB122" s="139">
        <f t="shared" si="11"/>
        <v>0.4801801802</v>
      </c>
      <c r="AC122" s="144">
        <f t="shared" si="12"/>
        <v>216000</v>
      </c>
      <c r="AD122" s="105">
        <f t="shared" si="13"/>
        <v>1296000</v>
      </c>
      <c r="AE122" s="139">
        <f t="shared" si="14"/>
        <v>0.4657407407</v>
      </c>
    </row>
    <row r="123" ht="14.25" customHeight="1">
      <c r="A123" s="132" t="s">
        <v>639</v>
      </c>
      <c r="B123" s="132" t="s">
        <v>627</v>
      </c>
      <c r="C123" s="132" t="s">
        <v>628</v>
      </c>
      <c r="D123" s="133" t="s">
        <v>617</v>
      </c>
      <c r="E123" s="146">
        <v>2.0</v>
      </c>
      <c r="F123" s="135" t="str">
        <f>IF(A123="","",VLOOKUP(A123,'Cotizador Compras'!$A$5:$J$21,2,FALSE))</f>
        <v>AUREN</v>
      </c>
      <c r="G123" s="136">
        <f>IF(A123="","",VLOOKUP(A123,'Cotizador Compras'!$A$5:$J$21,3,FALSE))</f>
        <v>55000</v>
      </c>
      <c r="H123" s="105">
        <f>IF(OR(A123="",D123=""),"",IF(D123="Sin estampar",0,IF(D123="Pecho",VLOOKUP(A123,'Cotizador Compras'!$A$5:$J$21,4,FALSE),IF(D123="Espalda",VLOOKUP(A123,'Cotizador Compras'!$A$5:$J$21,5,FALSE),VLOOKUP(A123,'Cotizador Compras'!$A$5:$J$21,4,FALSE)+VLOOKUP(A123,'Cotizador Compras'!$A$5:$J$21,5,FALSE)))))</f>
        <v>0</v>
      </c>
      <c r="I123" s="105">
        <f>IF(A123="","",VLOOKUP(A123,'Cotizador Compras'!$A$5:$J$21,6,FALSE))</f>
        <v>1700</v>
      </c>
      <c r="J123" s="105">
        <f>IF(A123="","",VLOOKUP(A123,'Cotizador Compras'!$A$5:$J$21,7,FALSE))</f>
        <v>1000</v>
      </c>
      <c r="K123" s="137">
        <f t="shared" si="1"/>
        <v>115400</v>
      </c>
      <c r="L123" s="105">
        <f>IF(A123="","",IF(D123="Sin estampar",VLOOKUP(A123,'Cotizador Compras'!$A$5:$J$21,8,FALSE),IF(D123="Pecho",VLOOKUP(A123,'Cotizador Compras'!$A$5:$J$21,10,FALSE),VLOOKUP(A123,'Cotizador Compras'!$A$5:$J$21,9,FALSE))))</f>
        <v>120000</v>
      </c>
      <c r="M123" s="138">
        <f t="shared" si="2"/>
        <v>240000</v>
      </c>
      <c r="N123" s="105">
        <f t="shared" si="3"/>
        <v>57700</v>
      </c>
      <c r="O123" s="139">
        <f t="shared" si="4"/>
        <v>0.5191666667</v>
      </c>
      <c r="P123" s="140" t="str">
        <f t="shared" si="5"/>
        <v>Buzo Cuello Redondo Oversized XL Beige</v>
      </c>
      <c r="Q123" s="105"/>
      <c r="R123" s="151">
        <f t="shared" si="6"/>
        <v>0</v>
      </c>
      <c r="T123" s="143">
        <f t="shared" si="7"/>
        <v>110000</v>
      </c>
      <c r="W123" s="144"/>
      <c r="X123" s="105">
        <f t="shared" si="8"/>
        <v>342000</v>
      </c>
      <c r="Y123" s="139">
        <f t="shared" si="9"/>
        <v>0.4938596491</v>
      </c>
      <c r="Z123" s="144"/>
      <c r="AA123" s="105">
        <f t="shared" si="10"/>
        <v>666000</v>
      </c>
      <c r="AB123" s="139">
        <f t="shared" si="11"/>
        <v>0.4801801802</v>
      </c>
      <c r="AC123" s="144">
        <f t="shared" si="12"/>
        <v>216000</v>
      </c>
      <c r="AD123" s="105">
        <f t="shared" si="13"/>
        <v>1296000</v>
      </c>
      <c r="AE123" s="139">
        <f t="shared" si="14"/>
        <v>0.4657407407</v>
      </c>
    </row>
    <row r="124" ht="14.25" customHeight="1">
      <c r="A124" s="132" t="s">
        <v>639</v>
      </c>
      <c r="B124" s="133" t="s">
        <v>623</v>
      </c>
      <c r="C124" s="132" t="s">
        <v>616</v>
      </c>
      <c r="D124" s="133" t="s">
        <v>621</v>
      </c>
      <c r="E124" s="146">
        <v>2.0</v>
      </c>
      <c r="F124" s="135" t="str">
        <f>IF(A124="","",VLOOKUP(A124,'Cotizador Compras'!$A$5:$J$21,2,FALSE))</f>
        <v>AUREN</v>
      </c>
      <c r="G124" s="136">
        <f>IF(A124="","",VLOOKUP(A124,'Cotizador Compras'!$A$5:$J$21,3,FALSE))</f>
        <v>55000</v>
      </c>
      <c r="H124" s="105">
        <f>IF(OR(A124="",D124=""),"",IF(D124="Sin estampar",0,IF(D124="Pecho",VLOOKUP(A124,'Cotizador Compras'!$A$5:$J$21,4,FALSE),IF(D124="Espalda",VLOOKUP(A124,'Cotizador Compras'!$A$5:$J$21,5,FALSE),VLOOKUP(A124,'Cotizador Compras'!$A$5:$J$21,4,FALSE)+VLOOKUP(A124,'Cotizador Compras'!$A$5:$J$21,5,FALSE)))))</f>
        <v>3500</v>
      </c>
      <c r="I124" s="105">
        <f>IF(A124="","",VLOOKUP(A124,'Cotizador Compras'!$A$5:$J$21,6,FALSE))</f>
        <v>1700</v>
      </c>
      <c r="J124" s="105">
        <f>IF(A124="","",VLOOKUP(A124,'Cotizador Compras'!$A$5:$J$21,7,FALSE))</f>
        <v>1000</v>
      </c>
      <c r="K124" s="137">
        <f t="shared" si="1"/>
        <v>122400</v>
      </c>
      <c r="L124" s="105">
        <f>IF(A124="","",IF(D124="Sin estampar",VLOOKUP(A124,'Cotizador Compras'!$A$5:$J$21,8,FALSE),IF(D124="Pecho",VLOOKUP(A124,'Cotizador Compras'!$A$5:$J$21,10,FALSE),VLOOKUP(A124,'Cotizador Compras'!$A$5:$J$21,9,FALSE))))</f>
        <v>140000</v>
      </c>
      <c r="M124" s="138">
        <f t="shared" si="2"/>
        <v>280000</v>
      </c>
      <c r="N124" s="105">
        <f t="shared" si="3"/>
        <v>61200</v>
      </c>
      <c r="O124" s="139">
        <f t="shared" si="4"/>
        <v>0.5628571429</v>
      </c>
      <c r="P124" s="140" t="str">
        <f t="shared" si="5"/>
        <v>Buzo Cuello Redondo Oversized L Negro</v>
      </c>
      <c r="Q124" s="105"/>
      <c r="R124" s="151">
        <f t="shared" si="6"/>
        <v>0</v>
      </c>
      <c r="T124" s="143">
        <f t="shared" si="7"/>
        <v>110000</v>
      </c>
      <c r="W124" s="144"/>
      <c r="X124" s="105">
        <f t="shared" si="8"/>
        <v>399000</v>
      </c>
      <c r="Y124" s="139">
        <f t="shared" si="9"/>
        <v>0.5398496241</v>
      </c>
      <c r="Z124" s="144"/>
      <c r="AA124" s="105">
        <f t="shared" si="10"/>
        <v>780000</v>
      </c>
      <c r="AB124" s="139">
        <f t="shared" si="11"/>
        <v>0.5292307692</v>
      </c>
      <c r="AC124" s="144">
        <f t="shared" si="12"/>
        <v>252000</v>
      </c>
      <c r="AD124" s="105">
        <f t="shared" si="13"/>
        <v>1512000</v>
      </c>
      <c r="AE124" s="139">
        <f t="shared" si="14"/>
        <v>0.5142857143</v>
      </c>
    </row>
    <row r="125" ht="14.25" customHeight="1">
      <c r="A125" s="132" t="s">
        <v>639</v>
      </c>
      <c r="B125" s="133" t="s">
        <v>627</v>
      </c>
      <c r="C125" s="132" t="s">
        <v>616</v>
      </c>
      <c r="D125" s="133" t="s">
        <v>621</v>
      </c>
      <c r="E125" s="146">
        <v>2.0</v>
      </c>
      <c r="F125" s="135" t="str">
        <f>IF(A125="","",VLOOKUP(A125,'Cotizador Compras'!$A$5:$J$21,2,FALSE))</f>
        <v>AUREN</v>
      </c>
      <c r="G125" s="136">
        <f>IF(A125="","",VLOOKUP(A125,'Cotizador Compras'!$A$5:$J$21,3,FALSE))</f>
        <v>55000</v>
      </c>
      <c r="H125" s="105">
        <f>IF(OR(A125="",D125=""),"",IF(D125="Sin estampar",0,IF(D125="Pecho",VLOOKUP(A125,'Cotizador Compras'!$A$5:$J$21,4,FALSE),IF(D125="Espalda",VLOOKUP(A125,'Cotizador Compras'!$A$5:$J$21,5,FALSE),VLOOKUP(A125,'Cotizador Compras'!$A$5:$J$21,4,FALSE)+VLOOKUP(A125,'Cotizador Compras'!$A$5:$J$21,5,FALSE)))))</f>
        <v>3500</v>
      </c>
      <c r="I125" s="105">
        <f>IF(A125="","",VLOOKUP(A125,'Cotizador Compras'!$A$5:$J$21,6,FALSE))</f>
        <v>1700</v>
      </c>
      <c r="J125" s="105">
        <f>IF(A125="","",VLOOKUP(A125,'Cotizador Compras'!$A$5:$J$21,7,FALSE))</f>
        <v>1000</v>
      </c>
      <c r="K125" s="137">
        <f t="shared" si="1"/>
        <v>122400</v>
      </c>
      <c r="L125" s="105">
        <f>IF(A125="","",IF(D125="Sin estampar",VLOOKUP(A125,'Cotizador Compras'!$A$5:$J$21,8,FALSE),IF(D125="Pecho",VLOOKUP(A125,'Cotizador Compras'!$A$5:$J$21,10,FALSE),VLOOKUP(A125,'Cotizador Compras'!$A$5:$J$21,9,FALSE))))</f>
        <v>140000</v>
      </c>
      <c r="M125" s="138">
        <f t="shared" si="2"/>
        <v>280000</v>
      </c>
      <c r="N125" s="105">
        <f t="shared" si="3"/>
        <v>61200</v>
      </c>
      <c r="O125" s="139">
        <f t="shared" si="4"/>
        <v>0.5628571429</v>
      </c>
      <c r="P125" s="140" t="str">
        <f t="shared" si="5"/>
        <v>Buzo Cuello Redondo Oversized XL Negro</v>
      </c>
      <c r="Q125" s="105"/>
      <c r="R125" s="151">
        <f t="shared" si="6"/>
        <v>0</v>
      </c>
      <c r="T125" s="143">
        <f t="shared" si="7"/>
        <v>110000</v>
      </c>
      <c r="W125" s="144"/>
      <c r="X125" s="105">
        <f t="shared" si="8"/>
        <v>399000</v>
      </c>
      <c r="Y125" s="139">
        <f t="shared" si="9"/>
        <v>0.5398496241</v>
      </c>
      <c r="Z125" s="144"/>
      <c r="AA125" s="105">
        <f t="shared" si="10"/>
        <v>780000</v>
      </c>
      <c r="AB125" s="139">
        <f t="shared" si="11"/>
        <v>0.5292307692</v>
      </c>
      <c r="AC125" s="144">
        <f t="shared" si="12"/>
        <v>252000</v>
      </c>
      <c r="AD125" s="105">
        <f t="shared" si="13"/>
        <v>1512000</v>
      </c>
      <c r="AE125" s="139">
        <f t="shared" si="14"/>
        <v>0.5142857143</v>
      </c>
    </row>
    <row r="126" ht="14.25" customHeight="1">
      <c r="A126" s="132" t="s">
        <v>639</v>
      </c>
      <c r="B126" s="133" t="s">
        <v>631</v>
      </c>
      <c r="C126" s="132" t="s">
        <v>616</v>
      </c>
      <c r="D126" s="133" t="s">
        <v>621</v>
      </c>
      <c r="E126" s="146">
        <v>2.0</v>
      </c>
      <c r="F126" s="135" t="str">
        <f>IF(A126="","",VLOOKUP(A126,'Cotizador Compras'!$A$5:$J$21,2,FALSE))</f>
        <v>AUREN</v>
      </c>
      <c r="G126" s="136">
        <f>IF(A126="","",VLOOKUP(A126,'Cotizador Compras'!$A$5:$J$21,3,FALSE))</f>
        <v>55000</v>
      </c>
      <c r="H126" s="105">
        <f>IF(OR(A126="",D126=""),"",IF(D126="Sin estampar",0,IF(D126="Pecho",VLOOKUP(A126,'Cotizador Compras'!$A$5:$J$21,4,FALSE),IF(D126="Espalda",VLOOKUP(A126,'Cotizador Compras'!$A$5:$J$21,5,FALSE),VLOOKUP(A126,'Cotizador Compras'!$A$5:$J$21,4,FALSE)+VLOOKUP(A126,'Cotizador Compras'!$A$5:$J$21,5,FALSE)))))</f>
        <v>3500</v>
      </c>
      <c r="I126" s="105">
        <f>IF(A126="","",VLOOKUP(A126,'Cotizador Compras'!$A$5:$J$21,6,FALSE))</f>
        <v>1700</v>
      </c>
      <c r="J126" s="105">
        <f>IF(A126="","",VLOOKUP(A126,'Cotizador Compras'!$A$5:$J$21,7,FALSE))</f>
        <v>1000</v>
      </c>
      <c r="K126" s="137">
        <f t="shared" si="1"/>
        <v>122400</v>
      </c>
      <c r="L126" s="105">
        <f>IF(A126="","",IF(D126="Sin estampar",VLOOKUP(A126,'Cotizador Compras'!$A$5:$J$21,8,FALSE),IF(D126="Pecho",VLOOKUP(A126,'Cotizador Compras'!$A$5:$J$21,10,FALSE),VLOOKUP(A126,'Cotizador Compras'!$A$5:$J$21,9,FALSE))))</f>
        <v>140000</v>
      </c>
      <c r="M126" s="138">
        <f t="shared" si="2"/>
        <v>280000</v>
      </c>
      <c r="N126" s="105">
        <f t="shared" si="3"/>
        <v>61200</v>
      </c>
      <c r="O126" s="139">
        <f t="shared" si="4"/>
        <v>0.5628571429</v>
      </c>
      <c r="P126" s="140" t="str">
        <f t="shared" si="5"/>
        <v>Buzo Cuello Redondo Oversized 2XL Negro</v>
      </c>
      <c r="Q126" s="105"/>
      <c r="R126" s="151">
        <f t="shared" si="6"/>
        <v>0</v>
      </c>
      <c r="T126" s="143">
        <f t="shared" si="7"/>
        <v>110000</v>
      </c>
      <c r="W126" s="144"/>
      <c r="X126" s="105">
        <f t="shared" si="8"/>
        <v>399000</v>
      </c>
      <c r="Y126" s="139">
        <f t="shared" si="9"/>
        <v>0.5398496241</v>
      </c>
      <c r="Z126" s="144"/>
      <c r="AA126" s="105">
        <f t="shared" si="10"/>
        <v>780000</v>
      </c>
      <c r="AB126" s="139">
        <f t="shared" si="11"/>
        <v>0.5292307692</v>
      </c>
      <c r="AC126" s="144">
        <f t="shared" si="12"/>
        <v>252000</v>
      </c>
      <c r="AD126" s="105">
        <f t="shared" si="13"/>
        <v>1512000</v>
      </c>
      <c r="AE126" s="139">
        <f t="shared" si="14"/>
        <v>0.5142857143</v>
      </c>
    </row>
    <row r="127" ht="14.25" customHeight="1">
      <c r="A127" s="132" t="s">
        <v>639</v>
      </c>
      <c r="B127" s="133" t="s">
        <v>623</v>
      </c>
      <c r="C127" s="132" t="s">
        <v>628</v>
      </c>
      <c r="D127" s="133" t="s">
        <v>621</v>
      </c>
      <c r="E127" s="146">
        <v>2.0</v>
      </c>
      <c r="F127" s="135" t="str">
        <f>IF(A127="","",VLOOKUP(A127,'Cotizador Compras'!$A$5:$J$21,2,FALSE))</f>
        <v>AUREN</v>
      </c>
      <c r="G127" s="136">
        <f>IF(A127="","",VLOOKUP(A127,'Cotizador Compras'!$A$5:$J$21,3,FALSE))</f>
        <v>55000</v>
      </c>
      <c r="H127" s="105">
        <f>IF(OR(A127="",D127=""),"",IF(D127="Sin estampar",0,IF(D127="Pecho",VLOOKUP(A127,'Cotizador Compras'!$A$5:$J$21,4,FALSE),IF(D127="Espalda",VLOOKUP(A127,'Cotizador Compras'!$A$5:$J$21,5,FALSE),VLOOKUP(A127,'Cotizador Compras'!$A$5:$J$21,4,FALSE)+VLOOKUP(A127,'Cotizador Compras'!$A$5:$J$21,5,FALSE)))))</f>
        <v>3500</v>
      </c>
      <c r="I127" s="105">
        <f>IF(A127="","",VLOOKUP(A127,'Cotizador Compras'!$A$5:$J$21,6,FALSE))</f>
        <v>1700</v>
      </c>
      <c r="J127" s="105">
        <f>IF(A127="","",VLOOKUP(A127,'Cotizador Compras'!$A$5:$J$21,7,FALSE))</f>
        <v>1000</v>
      </c>
      <c r="K127" s="137">
        <f t="shared" si="1"/>
        <v>122400</v>
      </c>
      <c r="L127" s="105">
        <f>IF(A127="","",IF(D127="Sin estampar",VLOOKUP(A127,'Cotizador Compras'!$A$5:$J$21,8,FALSE),IF(D127="Pecho",VLOOKUP(A127,'Cotizador Compras'!$A$5:$J$21,10,FALSE),VLOOKUP(A127,'Cotizador Compras'!$A$5:$J$21,9,FALSE))))</f>
        <v>140000</v>
      </c>
      <c r="M127" s="138">
        <f t="shared" si="2"/>
        <v>280000</v>
      </c>
      <c r="N127" s="105">
        <f t="shared" si="3"/>
        <v>61200</v>
      </c>
      <c r="O127" s="139">
        <f t="shared" si="4"/>
        <v>0.5628571429</v>
      </c>
      <c r="P127" s="140" t="str">
        <f t="shared" si="5"/>
        <v>Buzo Cuello Redondo Oversized L Beige</v>
      </c>
      <c r="Q127" s="105"/>
      <c r="R127" s="151">
        <f t="shared" si="6"/>
        <v>0</v>
      </c>
      <c r="T127" s="143">
        <f t="shared" si="7"/>
        <v>110000</v>
      </c>
      <c r="W127" s="144"/>
      <c r="X127" s="105">
        <f t="shared" si="8"/>
        <v>399000</v>
      </c>
      <c r="Y127" s="139">
        <f t="shared" si="9"/>
        <v>0.5398496241</v>
      </c>
      <c r="Z127" s="144"/>
      <c r="AA127" s="105">
        <f t="shared" si="10"/>
        <v>780000</v>
      </c>
      <c r="AB127" s="139">
        <f t="shared" si="11"/>
        <v>0.5292307692</v>
      </c>
      <c r="AC127" s="144">
        <f t="shared" si="12"/>
        <v>252000</v>
      </c>
      <c r="AD127" s="105">
        <f t="shared" si="13"/>
        <v>1512000</v>
      </c>
      <c r="AE127" s="139">
        <f t="shared" si="14"/>
        <v>0.5142857143</v>
      </c>
    </row>
    <row r="128" ht="14.25" customHeight="1">
      <c r="A128" s="132" t="s">
        <v>639</v>
      </c>
      <c r="B128" s="133" t="s">
        <v>627</v>
      </c>
      <c r="C128" s="132" t="s">
        <v>628</v>
      </c>
      <c r="D128" s="133" t="s">
        <v>621</v>
      </c>
      <c r="E128" s="146">
        <v>2.0</v>
      </c>
      <c r="F128" s="135" t="str">
        <f>IF(A128="","",VLOOKUP(A128,'Cotizador Compras'!$A$5:$J$21,2,FALSE))</f>
        <v>AUREN</v>
      </c>
      <c r="G128" s="136">
        <f>IF(A128="","",VLOOKUP(A128,'Cotizador Compras'!$A$5:$J$21,3,FALSE))</f>
        <v>55000</v>
      </c>
      <c r="H128" s="105">
        <f>IF(OR(A128="",D128=""),"",IF(D128="Sin estampar",0,IF(D128="Pecho",VLOOKUP(A128,'Cotizador Compras'!$A$5:$J$21,4,FALSE),IF(D128="Espalda",VLOOKUP(A128,'Cotizador Compras'!$A$5:$J$21,5,FALSE),VLOOKUP(A128,'Cotizador Compras'!$A$5:$J$21,4,FALSE)+VLOOKUP(A128,'Cotizador Compras'!$A$5:$J$21,5,FALSE)))))</f>
        <v>3500</v>
      </c>
      <c r="I128" s="105">
        <f>IF(A128="","",VLOOKUP(A128,'Cotizador Compras'!$A$5:$J$21,6,FALSE))</f>
        <v>1700</v>
      </c>
      <c r="J128" s="105">
        <f>IF(A128="","",VLOOKUP(A128,'Cotizador Compras'!$A$5:$J$21,7,FALSE))</f>
        <v>1000</v>
      </c>
      <c r="K128" s="137">
        <f t="shared" si="1"/>
        <v>122400</v>
      </c>
      <c r="L128" s="105">
        <f>IF(A128="","",IF(D128="Sin estampar",VLOOKUP(A128,'Cotizador Compras'!$A$5:$J$21,8,FALSE),IF(D128="Pecho",VLOOKUP(A128,'Cotizador Compras'!$A$5:$J$21,10,FALSE),VLOOKUP(A128,'Cotizador Compras'!$A$5:$J$21,9,FALSE))))</f>
        <v>140000</v>
      </c>
      <c r="M128" s="138">
        <f t="shared" si="2"/>
        <v>280000</v>
      </c>
      <c r="N128" s="105">
        <f t="shared" si="3"/>
        <v>61200</v>
      </c>
      <c r="O128" s="139">
        <f t="shared" si="4"/>
        <v>0.5628571429</v>
      </c>
      <c r="P128" s="140" t="str">
        <f t="shared" si="5"/>
        <v>Buzo Cuello Redondo Oversized XL Beige</v>
      </c>
      <c r="Q128" s="105"/>
      <c r="R128" s="151">
        <f t="shared" si="6"/>
        <v>0</v>
      </c>
      <c r="T128" s="143">
        <f t="shared" si="7"/>
        <v>110000</v>
      </c>
      <c r="W128" s="144"/>
      <c r="X128" s="105">
        <f t="shared" si="8"/>
        <v>399000</v>
      </c>
      <c r="Y128" s="139">
        <f t="shared" si="9"/>
        <v>0.5398496241</v>
      </c>
      <c r="Z128" s="144"/>
      <c r="AA128" s="105">
        <f t="shared" si="10"/>
        <v>780000</v>
      </c>
      <c r="AB128" s="139">
        <f t="shared" si="11"/>
        <v>0.5292307692</v>
      </c>
      <c r="AC128" s="144">
        <f t="shared" si="12"/>
        <v>252000</v>
      </c>
      <c r="AD128" s="105">
        <f t="shared" si="13"/>
        <v>1512000</v>
      </c>
      <c r="AE128" s="139">
        <f t="shared" si="14"/>
        <v>0.5142857143</v>
      </c>
    </row>
    <row r="129" ht="14.25" customHeight="1">
      <c r="A129" s="132" t="s">
        <v>639</v>
      </c>
      <c r="B129" s="133" t="s">
        <v>631</v>
      </c>
      <c r="C129" s="132" t="s">
        <v>628</v>
      </c>
      <c r="D129" s="133" t="s">
        <v>621</v>
      </c>
      <c r="E129" s="146">
        <v>2.0</v>
      </c>
      <c r="F129" s="135" t="str">
        <f>IF(A129="","",VLOOKUP(A129,'Cotizador Compras'!$A$5:$J$21,2,FALSE))</f>
        <v>AUREN</v>
      </c>
      <c r="G129" s="136">
        <f>IF(A129="","",VLOOKUP(A129,'Cotizador Compras'!$A$5:$J$21,3,FALSE))</f>
        <v>55000</v>
      </c>
      <c r="H129" s="105">
        <f>IF(OR(A129="",D129=""),"",IF(D129="Sin estampar",0,IF(D129="Pecho",VLOOKUP(A129,'Cotizador Compras'!$A$5:$J$21,4,FALSE),IF(D129="Espalda",VLOOKUP(A129,'Cotizador Compras'!$A$5:$J$21,5,FALSE),VLOOKUP(A129,'Cotizador Compras'!$A$5:$J$21,4,FALSE)+VLOOKUP(A129,'Cotizador Compras'!$A$5:$J$21,5,FALSE)))))</f>
        <v>3500</v>
      </c>
      <c r="I129" s="105">
        <f>IF(A129="","",VLOOKUP(A129,'Cotizador Compras'!$A$5:$J$21,6,FALSE))</f>
        <v>1700</v>
      </c>
      <c r="J129" s="105">
        <f>IF(A129="","",VLOOKUP(A129,'Cotizador Compras'!$A$5:$J$21,7,FALSE))</f>
        <v>1000</v>
      </c>
      <c r="K129" s="137">
        <f t="shared" si="1"/>
        <v>122400</v>
      </c>
      <c r="L129" s="105">
        <f>IF(A129="","",IF(D129="Sin estampar",VLOOKUP(A129,'Cotizador Compras'!$A$5:$J$21,8,FALSE),IF(D129="Pecho",VLOOKUP(A129,'Cotizador Compras'!$A$5:$J$21,10,FALSE),VLOOKUP(A129,'Cotizador Compras'!$A$5:$J$21,9,FALSE))))</f>
        <v>140000</v>
      </c>
      <c r="M129" s="138">
        <f t="shared" si="2"/>
        <v>280000</v>
      </c>
      <c r="N129" s="105">
        <f t="shared" si="3"/>
        <v>61200</v>
      </c>
      <c r="O129" s="139">
        <f t="shared" si="4"/>
        <v>0.5628571429</v>
      </c>
      <c r="P129" s="140" t="str">
        <f t="shared" si="5"/>
        <v>Buzo Cuello Redondo Oversized 2XL Beige</v>
      </c>
      <c r="Q129" s="105"/>
      <c r="R129" s="151">
        <f t="shared" si="6"/>
        <v>0</v>
      </c>
      <c r="T129" s="143">
        <f t="shared" si="7"/>
        <v>110000</v>
      </c>
      <c r="W129" s="144"/>
      <c r="X129" s="105">
        <f t="shared" si="8"/>
        <v>399000</v>
      </c>
      <c r="Y129" s="139">
        <f t="shared" si="9"/>
        <v>0.5398496241</v>
      </c>
      <c r="Z129" s="144"/>
      <c r="AA129" s="105">
        <f t="shared" si="10"/>
        <v>780000</v>
      </c>
      <c r="AB129" s="139">
        <f t="shared" si="11"/>
        <v>0.5292307692</v>
      </c>
      <c r="AC129" s="144">
        <f t="shared" si="12"/>
        <v>252000</v>
      </c>
      <c r="AD129" s="105">
        <f t="shared" si="13"/>
        <v>1512000</v>
      </c>
      <c r="AE129" s="139">
        <f t="shared" si="14"/>
        <v>0.5142857143</v>
      </c>
    </row>
    <row r="130" ht="14.25" customHeight="1">
      <c r="A130" s="133" t="s">
        <v>641</v>
      </c>
      <c r="B130" s="133" t="s">
        <v>619</v>
      </c>
      <c r="C130" s="133" t="s">
        <v>616</v>
      </c>
      <c r="D130" s="133" t="s">
        <v>617</v>
      </c>
      <c r="E130" s="134">
        <v>4.0</v>
      </c>
      <c r="F130" s="135" t="str">
        <f>IF(A130="","",VLOOKUP(A130,'Cotizador Compras'!$A$5:$J$21,2,FALSE))</f>
        <v>AUREN</v>
      </c>
      <c r="G130" s="136">
        <f>IF(A130="","",VLOOKUP(A130,'Cotizador Compras'!$A$5:$J$21,3,FALSE))</f>
        <v>55000</v>
      </c>
      <c r="H130" s="105">
        <f>IF(OR(A130="",D130=""),"",IF(D130="Sin estampar",0,IF(D130="Pecho",VLOOKUP(A130,'Cotizador Compras'!$A$5:$J$21,4,FALSE),IF(D130="Espalda",VLOOKUP(A130,'Cotizador Compras'!$A$5:$J$21,5,FALSE),VLOOKUP(A130,'Cotizador Compras'!$A$5:$J$21,4,FALSE)+VLOOKUP(A130,'Cotizador Compras'!$A$5:$J$21,5,FALSE)))))</f>
        <v>0</v>
      </c>
      <c r="I130" s="105">
        <f>IF(A130="","",VLOOKUP(A130,'Cotizador Compras'!$A$5:$J$21,6,FALSE))</f>
        <v>1700</v>
      </c>
      <c r="J130" s="105">
        <f>IF(A130="","",VLOOKUP(A130,'Cotizador Compras'!$A$5:$J$21,7,FALSE))</f>
        <v>1000</v>
      </c>
      <c r="K130" s="137">
        <f t="shared" si="1"/>
        <v>230800</v>
      </c>
      <c r="L130" s="105">
        <f>IF(A130="","",IF(D130="Sin estampar",VLOOKUP(A130,'Cotizador Compras'!$A$5:$J$21,8,FALSE),IF(D130="Pecho",VLOOKUP(A130,'Cotizador Compras'!$A$5:$J$21,10,FALSE),VLOOKUP(A130,'Cotizador Compras'!$A$5:$J$21,9,FALSE))))</f>
        <v>100000</v>
      </c>
      <c r="M130" s="138">
        <f t="shared" si="2"/>
        <v>400000</v>
      </c>
      <c r="N130" s="105">
        <f t="shared" si="3"/>
        <v>57700</v>
      </c>
      <c r="O130" s="139">
        <f t="shared" si="4"/>
        <v>0.423</v>
      </c>
      <c r="P130" s="140" t="str">
        <f t="shared" si="5"/>
        <v>Jogger Largo M Negro</v>
      </c>
      <c r="Q130" s="105"/>
      <c r="R130" s="151">
        <f t="shared" si="6"/>
        <v>0</v>
      </c>
      <c r="T130" s="143">
        <f t="shared" si="7"/>
        <v>220000</v>
      </c>
      <c r="W130" s="144"/>
      <c r="X130" s="105">
        <f t="shared" si="8"/>
        <v>285000</v>
      </c>
      <c r="Y130" s="139">
        <f t="shared" si="9"/>
        <v>0.3926315789</v>
      </c>
      <c r="Z130" s="144"/>
      <c r="AA130" s="105">
        <f t="shared" si="10"/>
        <v>558000</v>
      </c>
      <c r="AB130" s="139">
        <f t="shared" si="11"/>
        <v>0.3795698925</v>
      </c>
      <c r="AC130" s="144">
        <f t="shared" si="12"/>
        <v>360000</v>
      </c>
      <c r="AD130" s="105">
        <f t="shared" si="13"/>
        <v>1080000</v>
      </c>
      <c r="AE130" s="139">
        <f t="shared" si="14"/>
        <v>0.3588888889</v>
      </c>
    </row>
    <row r="131" ht="14.25" customHeight="1">
      <c r="A131" s="133" t="s">
        <v>641</v>
      </c>
      <c r="B131" s="133" t="s">
        <v>623</v>
      </c>
      <c r="C131" s="133" t="s">
        <v>616</v>
      </c>
      <c r="D131" s="133" t="s">
        <v>617</v>
      </c>
      <c r="E131" s="134">
        <v>4.0</v>
      </c>
      <c r="F131" s="135" t="str">
        <f>IF(A131="","",VLOOKUP(A131,'Cotizador Compras'!$A$5:$J$21,2,FALSE))</f>
        <v>AUREN</v>
      </c>
      <c r="G131" s="136">
        <f>IF(A131="","",VLOOKUP(A131,'Cotizador Compras'!$A$5:$J$21,3,FALSE))</f>
        <v>55000</v>
      </c>
      <c r="H131" s="105">
        <f>IF(OR(A131="",D131=""),"",IF(D131="Sin estampar",0,IF(D131="Pecho",VLOOKUP(A131,'Cotizador Compras'!$A$5:$J$21,4,FALSE),IF(D131="Espalda",VLOOKUP(A131,'Cotizador Compras'!$A$5:$J$21,5,FALSE),VLOOKUP(A131,'Cotizador Compras'!$A$5:$J$21,4,FALSE)+VLOOKUP(A131,'Cotizador Compras'!$A$5:$J$21,5,FALSE)))))</f>
        <v>0</v>
      </c>
      <c r="I131" s="105">
        <f>IF(A131="","",VLOOKUP(A131,'Cotizador Compras'!$A$5:$J$21,6,FALSE))</f>
        <v>1700</v>
      </c>
      <c r="J131" s="105">
        <f>IF(A131="","",VLOOKUP(A131,'Cotizador Compras'!$A$5:$J$21,7,FALSE))</f>
        <v>1000</v>
      </c>
      <c r="K131" s="137">
        <f t="shared" si="1"/>
        <v>230800</v>
      </c>
      <c r="L131" s="105">
        <f>IF(A131="","",IF(D131="Sin estampar",VLOOKUP(A131,'Cotizador Compras'!$A$5:$J$21,8,FALSE),IF(D131="Pecho",VLOOKUP(A131,'Cotizador Compras'!$A$5:$J$21,10,FALSE),VLOOKUP(A131,'Cotizador Compras'!$A$5:$J$21,9,FALSE))))</f>
        <v>100000</v>
      </c>
      <c r="M131" s="138">
        <f t="shared" si="2"/>
        <v>400000</v>
      </c>
      <c r="N131" s="105">
        <f t="shared" si="3"/>
        <v>57700</v>
      </c>
      <c r="O131" s="139">
        <f t="shared" si="4"/>
        <v>0.423</v>
      </c>
      <c r="P131" s="140" t="str">
        <f t="shared" si="5"/>
        <v>Jogger Largo L Negro</v>
      </c>
      <c r="Q131" s="105"/>
      <c r="R131" s="151">
        <f t="shared" si="6"/>
        <v>0</v>
      </c>
      <c r="T131" s="143">
        <f t="shared" si="7"/>
        <v>220000</v>
      </c>
      <c r="W131" s="144"/>
      <c r="X131" s="105">
        <f t="shared" si="8"/>
        <v>285000</v>
      </c>
      <c r="Y131" s="139">
        <f t="shared" si="9"/>
        <v>0.3926315789</v>
      </c>
      <c r="Z131" s="144"/>
      <c r="AA131" s="105">
        <f t="shared" si="10"/>
        <v>558000</v>
      </c>
      <c r="AB131" s="139">
        <f t="shared" si="11"/>
        <v>0.3795698925</v>
      </c>
      <c r="AC131" s="144">
        <f t="shared" si="12"/>
        <v>360000</v>
      </c>
      <c r="AD131" s="105">
        <f t="shared" si="13"/>
        <v>1080000</v>
      </c>
      <c r="AE131" s="139">
        <f t="shared" si="14"/>
        <v>0.3588888889</v>
      </c>
    </row>
    <row r="132" ht="14.25" customHeight="1">
      <c r="A132" s="133" t="s">
        <v>641</v>
      </c>
      <c r="B132" s="133" t="s">
        <v>627</v>
      </c>
      <c r="C132" s="133" t="s">
        <v>616</v>
      </c>
      <c r="D132" s="133" t="s">
        <v>617</v>
      </c>
      <c r="E132" s="134">
        <v>4.0</v>
      </c>
      <c r="F132" s="135" t="str">
        <f>IF(A132="","",VLOOKUP(A132,'Cotizador Compras'!$A$5:$J$21,2,FALSE))</f>
        <v>AUREN</v>
      </c>
      <c r="G132" s="136">
        <f>IF(A132="","",VLOOKUP(A132,'Cotizador Compras'!$A$5:$J$21,3,FALSE))</f>
        <v>55000</v>
      </c>
      <c r="H132" s="105">
        <f>IF(OR(A132="",D132=""),"",IF(D132="Sin estampar",0,IF(D132="Pecho",VLOOKUP(A132,'Cotizador Compras'!$A$5:$J$21,4,FALSE),IF(D132="Espalda",VLOOKUP(A132,'Cotizador Compras'!$A$5:$J$21,5,FALSE),VLOOKUP(A132,'Cotizador Compras'!$A$5:$J$21,4,FALSE)+VLOOKUP(A132,'Cotizador Compras'!$A$5:$J$21,5,FALSE)))))</f>
        <v>0</v>
      </c>
      <c r="I132" s="105">
        <f>IF(A132="","",VLOOKUP(A132,'Cotizador Compras'!$A$5:$J$21,6,FALSE))</f>
        <v>1700</v>
      </c>
      <c r="J132" s="105">
        <f>IF(A132="","",VLOOKUP(A132,'Cotizador Compras'!$A$5:$J$21,7,FALSE))</f>
        <v>1000</v>
      </c>
      <c r="K132" s="137">
        <f t="shared" si="1"/>
        <v>230800</v>
      </c>
      <c r="L132" s="105">
        <f>IF(A132="","",IF(D132="Sin estampar",VLOOKUP(A132,'Cotizador Compras'!$A$5:$J$21,8,FALSE),IF(D132="Pecho",VLOOKUP(A132,'Cotizador Compras'!$A$5:$J$21,10,FALSE),VLOOKUP(A132,'Cotizador Compras'!$A$5:$J$21,9,FALSE))))</f>
        <v>100000</v>
      </c>
      <c r="M132" s="138">
        <f t="shared" si="2"/>
        <v>400000</v>
      </c>
      <c r="N132" s="105">
        <f t="shared" si="3"/>
        <v>57700</v>
      </c>
      <c r="O132" s="139">
        <f t="shared" si="4"/>
        <v>0.423</v>
      </c>
      <c r="P132" s="140" t="str">
        <f t="shared" si="5"/>
        <v>Jogger Largo XL Negro</v>
      </c>
      <c r="Q132" s="105"/>
      <c r="R132" s="151">
        <f t="shared" si="6"/>
        <v>0</v>
      </c>
      <c r="T132" s="143">
        <f t="shared" si="7"/>
        <v>220000</v>
      </c>
      <c r="W132" s="144"/>
      <c r="X132" s="105">
        <f t="shared" si="8"/>
        <v>285000</v>
      </c>
      <c r="Y132" s="139">
        <f t="shared" si="9"/>
        <v>0.3926315789</v>
      </c>
      <c r="Z132" s="144"/>
      <c r="AA132" s="105">
        <f t="shared" si="10"/>
        <v>558000</v>
      </c>
      <c r="AB132" s="139">
        <f t="shared" si="11"/>
        <v>0.3795698925</v>
      </c>
      <c r="AC132" s="144">
        <f t="shared" si="12"/>
        <v>360000</v>
      </c>
      <c r="AD132" s="105">
        <f t="shared" si="13"/>
        <v>1080000</v>
      </c>
      <c r="AE132" s="139">
        <f t="shared" si="14"/>
        <v>0.3588888889</v>
      </c>
    </row>
    <row r="133" ht="14.25" customHeight="1">
      <c r="A133" s="133" t="s">
        <v>641</v>
      </c>
      <c r="B133" s="133" t="s">
        <v>619</v>
      </c>
      <c r="C133" s="132" t="s">
        <v>628</v>
      </c>
      <c r="D133" s="132" t="s">
        <v>617</v>
      </c>
      <c r="E133" s="134">
        <v>4.0</v>
      </c>
      <c r="F133" s="135" t="str">
        <f>IF(A133="","",VLOOKUP(A133,'Cotizador Compras'!$A$5:$J$21,2,FALSE))</f>
        <v>AUREN</v>
      </c>
      <c r="G133" s="136">
        <f>IF(A133="","",VLOOKUP(A133,'Cotizador Compras'!$A$5:$J$21,3,FALSE))</f>
        <v>55000</v>
      </c>
      <c r="H133" s="105">
        <f>IF(OR(A133="",D133=""),"",IF(D133="Sin estampar",0,IF(D133="Pecho",VLOOKUP(A133,'Cotizador Compras'!$A$5:$J$21,4,FALSE),IF(D133="Espalda",VLOOKUP(A133,'Cotizador Compras'!$A$5:$J$21,5,FALSE),VLOOKUP(A133,'Cotizador Compras'!$A$5:$J$21,4,FALSE)+VLOOKUP(A133,'Cotizador Compras'!$A$5:$J$21,5,FALSE)))))</f>
        <v>0</v>
      </c>
      <c r="I133" s="105">
        <f>IF(A133="","",VLOOKUP(A133,'Cotizador Compras'!$A$5:$J$21,6,FALSE))</f>
        <v>1700</v>
      </c>
      <c r="J133" s="105">
        <f>IF(A133="","",VLOOKUP(A133,'Cotizador Compras'!$A$5:$J$21,7,FALSE))</f>
        <v>1000</v>
      </c>
      <c r="K133" s="137">
        <f t="shared" si="1"/>
        <v>230800</v>
      </c>
      <c r="L133" s="105">
        <f>IF(A133="","",IF(D133="Sin estampar",VLOOKUP(A133,'Cotizador Compras'!$A$5:$J$21,8,FALSE),IF(D133="Pecho",VLOOKUP(A133,'Cotizador Compras'!$A$5:$J$21,10,FALSE),VLOOKUP(A133,'Cotizador Compras'!$A$5:$J$21,9,FALSE))))</f>
        <v>100000</v>
      </c>
      <c r="M133" s="138">
        <f t="shared" si="2"/>
        <v>400000</v>
      </c>
      <c r="N133" s="105">
        <f t="shared" si="3"/>
        <v>57700</v>
      </c>
      <c r="O133" s="139">
        <f t="shared" si="4"/>
        <v>0.423</v>
      </c>
      <c r="P133" s="140" t="str">
        <f t="shared" si="5"/>
        <v>Jogger Largo M Beige</v>
      </c>
      <c r="Q133" s="105"/>
      <c r="R133" s="151">
        <f t="shared" si="6"/>
        <v>0</v>
      </c>
      <c r="T133" s="143">
        <f t="shared" si="7"/>
        <v>220000</v>
      </c>
      <c r="W133" s="144"/>
      <c r="X133" s="105">
        <f t="shared" si="8"/>
        <v>285000</v>
      </c>
      <c r="Y133" s="139">
        <f t="shared" si="9"/>
        <v>0.3926315789</v>
      </c>
      <c r="Z133" s="144"/>
      <c r="AA133" s="105">
        <f t="shared" si="10"/>
        <v>558000</v>
      </c>
      <c r="AB133" s="139">
        <f t="shared" si="11"/>
        <v>0.3795698925</v>
      </c>
      <c r="AC133" s="144">
        <f t="shared" si="12"/>
        <v>360000</v>
      </c>
      <c r="AD133" s="105">
        <f t="shared" si="13"/>
        <v>1080000</v>
      </c>
      <c r="AE133" s="139">
        <f t="shared" si="14"/>
        <v>0.3588888889</v>
      </c>
    </row>
    <row r="134" ht="14.25" customHeight="1">
      <c r="A134" s="133" t="s">
        <v>641</v>
      </c>
      <c r="B134" s="133" t="s">
        <v>623</v>
      </c>
      <c r="C134" s="132" t="s">
        <v>628</v>
      </c>
      <c r="D134" s="132" t="s">
        <v>617</v>
      </c>
      <c r="E134" s="134">
        <v>4.0</v>
      </c>
      <c r="F134" s="135" t="str">
        <f>IF(A134="","",VLOOKUP(A134,'Cotizador Compras'!$A$5:$J$21,2,FALSE))</f>
        <v>AUREN</v>
      </c>
      <c r="G134" s="136">
        <f>IF(A134="","",VLOOKUP(A134,'Cotizador Compras'!$A$5:$J$21,3,FALSE))</f>
        <v>55000</v>
      </c>
      <c r="H134" s="105">
        <f>IF(OR(A134="",D134=""),"",IF(D134="Sin estampar",0,IF(D134="Pecho",VLOOKUP(A134,'Cotizador Compras'!$A$5:$J$21,4,FALSE),IF(D134="Espalda",VLOOKUP(A134,'Cotizador Compras'!$A$5:$J$21,5,FALSE),VLOOKUP(A134,'Cotizador Compras'!$A$5:$J$21,4,FALSE)+VLOOKUP(A134,'Cotizador Compras'!$A$5:$J$21,5,FALSE)))))</f>
        <v>0</v>
      </c>
      <c r="I134" s="105">
        <f>IF(A134="","",VLOOKUP(A134,'Cotizador Compras'!$A$5:$J$21,6,FALSE))</f>
        <v>1700</v>
      </c>
      <c r="J134" s="105">
        <f>IF(A134="","",VLOOKUP(A134,'Cotizador Compras'!$A$5:$J$21,7,FALSE))</f>
        <v>1000</v>
      </c>
      <c r="K134" s="137">
        <f t="shared" si="1"/>
        <v>230800</v>
      </c>
      <c r="L134" s="105">
        <f>IF(A134="","",IF(D134="Sin estampar",VLOOKUP(A134,'Cotizador Compras'!$A$5:$J$21,8,FALSE),IF(D134="Pecho",VLOOKUP(A134,'Cotizador Compras'!$A$5:$J$21,10,FALSE),VLOOKUP(A134,'Cotizador Compras'!$A$5:$J$21,9,FALSE))))</f>
        <v>100000</v>
      </c>
      <c r="M134" s="138">
        <f t="shared" si="2"/>
        <v>400000</v>
      </c>
      <c r="N134" s="105">
        <f t="shared" si="3"/>
        <v>57700</v>
      </c>
      <c r="O134" s="139">
        <f t="shared" si="4"/>
        <v>0.423</v>
      </c>
      <c r="P134" s="140" t="str">
        <f t="shared" si="5"/>
        <v>Jogger Largo L Beige</v>
      </c>
      <c r="Q134" s="105"/>
      <c r="R134" s="151">
        <f t="shared" si="6"/>
        <v>0</v>
      </c>
      <c r="T134" s="143">
        <f t="shared" si="7"/>
        <v>220000</v>
      </c>
      <c r="W134" s="144"/>
      <c r="X134" s="105">
        <f t="shared" si="8"/>
        <v>285000</v>
      </c>
      <c r="Y134" s="139">
        <f t="shared" si="9"/>
        <v>0.3926315789</v>
      </c>
      <c r="Z134" s="144"/>
      <c r="AA134" s="105">
        <f t="shared" si="10"/>
        <v>558000</v>
      </c>
      <c r="AB134" s="139">
        <f t="shared" si="11"/>
        <v>0.3795698925</v>
      </c>
      <c r="AC134" s="144">
        <f t="shared" si="12"/>
        <v>360000</v>
      </c>
      <c r="AD134" s="105">
        <f t="shared" si="13"/>
        <v>1080000</v>
      </c>
      <c r="AE134" s="139">
        <f t="shared" si="14"/>
        <v>0.3588888889</v>
      </c>
    </row>
    <row r="135" ht="14.25" customHeight="1">
      <c r="A135" s="133" t="s">
        <v>641</v>
      </c>
      <c r="B135" s="133" t="s">
        <v>627</v>
      </c>
      <c r="C135" s="132" t="s">
        <v>628</v>
      </c>
      <c r="D135" s="132" t="s">
        <v>617</v>
      </c>
      <c r="E135" s="134">
        <v>4.0</v>
      </c>
      <c r="F135" s="135" t="str">
        <f>IF(A135="","",VLOOKUP(A135,'Cotizador Compras'!$A$5:$J$21,2,FALSE))</f>
        <v>AUREN</v>
      </c>
      <c r="G135" s="136">
        <f>IF(A135="","",VLOOKUP(A135,'Cotizador Compras'!$A$5:$J$21,3,FALSE))</f>
        <v>55000</v>
      </c>
      <c r="H135" s="105">
        <f>IF(OR(A135="",D135=""),"",IF(D135="Sin estampar",0,IF(D135="Pecho",VLOOKUP(A135,'Cotizador Compras'!$A$5:$J$21,4,FALSE),IF(D135="Espalda",VLOOKUP(A135,'Cotizador Compras'!$A$5:$J$21,5,FALSE),VLOOKUP(A135,'Cotizador Compras'!$A$5:$J$21,4,FALSE)+VLOOKUP(A135,'Cotizador Compras'!$A$5:$J$21,5,FALSE)))))</f>
        <v>0</v>
      </c>
      <c r="I135" s="105">
        <f>IF(A135="","",VLOOKUP(A135,'Cotizador Compras'!$A$5:$J$21,6,FALSE))</f>
        <v>1700</v>
      </c>
      <c r="J135" s="105">
        <f>IF(A135="","",VLOOKUP(A135,'Cotizador Compras'!$A$5:$J$21,7,FALSE))</f>
        <v>1000</v>
      </c>
      <c r="K135" s="137">
        <f t="shared" si="1"/>
        <v>230800</v>
      </c>
      <c r="L135" s="105">
        <f>IF(A135="","",IF(D135="Sin estampar",VLOOKUP(A135,'Cotizador Compras'!$A$5:$J$21,8,FALSE),IF(D135="Pecho",VLOOKUP(A135,'Cotizador Compras'!$A$5:$J$21,10,FALSE),VLOOKUP(A135,'Cotizador Compras'!$A$5:$J$21,9,FALSE))))</f>
        <v>100000</v>
      </c>
      <c r="M135" s="138">
        <f t="shared" si="2"/>
        <v>400000</v>
      </c>
      <c r="N135" s="105">
        <f t="shared" si="3"/>
        <v>57700</v>
      </c>
      <c r="O135" s="139">
        <f t="shared" si="4"/>
        <v>0.423</v>
      </c>
      <c r="P135" s="140" t="str">
        <f t="shared" si="5"/>
        <v>Jogger Largo XL Beige</v>
      </c>
      <c r="Q135" s="105"/>
      <c r="R135" s="151">
        <f t="shared" si="6"/>
        <v>0</v>
      </c>
      <c r="T135" s="143">
        <f t="shared" si="7"/>
        <v>220000</v>
      </c>
      <c r="W135" s="144"/>
      <c r="X135" s="105">
        <f t="shared" si="8"/>
        <v>285000</v>
      </c>
      <c r="Y135" s="139">
        <f t="shared" si="9"/>
        <v>0.3926315789</v>
      </c>
      <c r="Z135" s="144"/>
      <c r="AA135" s="105">
        <f t="shared" si="10"/>
        <v>558000</v>
      </c>
      <c r="AB135" s="139">
        <f t="shared" si="11"/>
        <v>0.3795698925</v>
      </c>
      <c r="AC135" s="144">
        <f t="shared" si="12"/>
        <v>360000</v>
      </c>
      <c r="AD135" s="105">
        <f t="shared" si="13"/>
        <v>1080000</v>
      </c>
      <c r="AE135" s="139">
        <f t="shared" si="14"/>
        <v>0.3588888889</v>
      </c>
    </row>
    <row r="136" ht="14.25" customHeight="1">
      <c r="A136" s="133" t="s">
        <v>512</v>
      </c>
      <c r="B136" s="133" t="s">
        <v>619</v>
      </c>
      <c r="C136" s="133" t="s">
        <v>616</v>
      </c>
      <c r="D136" s="133" t="s">
        <v>617</v>
      </c>
      <c r="E136" s="134">
        <v>4.0</v>
      </c>
      <c r="F136" s="135" t="str">
        <f>IF(A136="","",VLOOKUP(A136,'Cotizador Compras'!$A$5:$J$21,2,FALSE))</f>
        <v>AUREN</v>
      </c>
      <c r="G136" s="136">
        <f>IF(A136="","",VLOOKUP(A136,'Cotizador Compras'!$A$5:$J$21,3,FALSE))</f>
        <v>40000</v>
      </c>
      <c r="H136" s="105">
        <f>IF(OR(A136="",D136=""),"",IF(D136="Sin estampar",0,IF(D136="Pecho",VLOOKUP(A136,'Cotizador Compras'!$A$5:$J$21,4,FALSE),IF(D136="Espalda",VLOOKUP(A136,'Cotizador Compras'!$A$5:$J$21,5,FALSE),VLOOKUP(A136,'Cotizador Compras'!$A$5:$J$21,4,FALSE)+VLOOKUP(A136,'Cotizador Compras'!$A$5:$J$21,5,FALSE)))))</f>
        <v>0</v>
      </c>
      <c r="I136" s="105">
        <f>IF(A136="","",VLOOKUP(A136,'Cotizador Compras'!$A$5:$J$21,6,FALSE))</f>
        <v>1700</v>
      </c>
      <c r="J136" s="105">
        <f>IF(A136="","",VLOOKUP(A136,'Cotizador Compras'!$A$5:$J$21,7,FALSE))</f>
        <v>1000</v>
      </c>
      <c r="K136" s="137">
        <f t="shared" si="1"/>
        <v>170800</v>
      </c>
      <c r="L136" s="105">
        <f>IF(A136="","",IF(D136="Sin estampar",VLOOKUP(A136,'Cotizador Compras'!$A$5:$J$21,8,FALSE),IF(D136="Pecho",VLOOKUP(A136,'Cotizador Compras'!$A$5:$J$21,10,FALSE),VLOOKUP(A136,'Cotizador Compras'!$A$5:$J$21,9,FALSE))))</f>
        <v>120000</v>
      </c>
      <c r="M136" s="138">
        <f t="shared" si="2"/>
        <v>480000</v>
      </c>
      <c r="N136" s="105">
        <f t="shared" si="3"/>
        <v>42700</v>
      </c>
      <c r="O136" s="139">
        <f t="shared" si="4"/>
        <v>0.6441666667</v>
      </c>
      <c r="P136" s="140" t="str">
        <f t="shared" si="5"/>
        <v>Chaqueta Cortavientos M Negro</v>
      </c>
      <c r="Q136" s="105"/>
      <c r="R136" s="151">
        <f t="shared" si="6"/>
        <v>0</v>
      </c>
      <c r="T136" s="143">
        <f t="shared" si="7"/>
        <v>160000</v>
      </c>
      <c r="W136" s="144"/>
      <c r="X136" s="105">
        <f t="shared" si="8"/>
        <v>342000</v>
      </c>
      <c r="Y136" s="139">
        <f t="shared" si="9"/>
        <v>0.6254385965</v>
      </c>
      <c r="Z136" s="144"/>
      <c r="AA136" s="105">
        <f t="shared" si="10"/>
        <v>666000</v>
      </c>
      <c r="AB136" s="139">
        <f t="shared" si="11"/>
        <v>0.6153153153</v>
      </c>
      <c r="AC136" s="144">
        <f t="shared" si="12"/>
        <v>432000</v>
      </c>
      <c r="AD136" s="105">
        <f t="shared" si="13"/>
        <v>1296000</v>
      </c>
      <c r="AE136" s="139">
        <f t="shared" si="14"/>
        <v>0.6046296296</v>
      </c>
    </row>
    <row r="137" ht="14.25" customHeight="1">
      <c r="A137" s="133" t="s">
        <v>512</v>
      </c>
      <c r="B137" s="133" t="s">
        <v>623</v>
      </c>
      <c r="C137" s="133" t="s">
        <v>616</v>
      </c>
      <c r="D137" s="133" t="s">
        <v>617</v>
      </c>
      <c r="E137" s="134">
        <v>4.0</v>
      </c>
      <c r="F137" s="135" t="str">
        <f>IF(A137="","",VLOOKUP(A137,'Cotizador Compras'!$A$5:$J$21,2,FALSE))</f>
        <v>AUREN</v>
      </c>
      <c r="G137" s="136">
        <f>IF(A137="","",VLOOKUP(A137,'Cotizador Compras'!$A$5:$J$21,3,FALSE))</f>
        <v>40000</v>
      </c>
      <c r="H137" s="105">
        <f>IF(OR(A137="",D137=""),"",IF(D137="Sin estampar",0,IF(D137="Pecho",VLOOKUP(A137,'Cotizador Compras'!$A$5:$J$21,4,FALSE),IF(D137="Espalda",VLOOKUP(A137,'Cotizador Compras'!$A$5:$J$21,5,FALSE),VLOOKUP(A137,'Cotizador Compras'!$A$5:$J$21,4,FALSE)+VLOOKUP(A137,'Cotizador Compras'!$A$5:$J$21,5,FALSE)))))</f>
        <v>0</v>
      </c>
      <c r="I137" s="105">
        <f>IF(A137="","",VLOOKUP(A137,'Cotizador Compras'!$A$5:$J$21,6,FALSE))</f>
        <v>1700</v>
      </c>
      <c r="J137" s="105">
        <f>IF(A137="","",VLOOKUP(A137,'Cotizador Compras'!$A$5:$J$21,7,FALSE))</f>
        <v>1000</v>
      </c>
      <c r="K137" s="137">
        <f t="shared" si="1"/>
        <v>170800</v>
      </c>
      <c r="L137" s="105">
        <f>IF(A137="","",IF(D137="Sin estampar",VLOOKUP(A137,'Cotizador Compras'!$A$5:$J$21,8,FALSE),IF(D137="Pecho",VLOOKUP(A137,'Cotizador Compras'!$A$5:$J$21,10,FALSE),VLOOKUP(A137,'Cotizador Compras'!$A$5:$J$21,9,FALSE))))</f>
        <v>120000</v>
      </c>
      <c r="M137" s="138">
        <f t="shared" si="2"/>
        <v>480000</v>
      </c>
      <c r="N137" s="105">
        <f t="shared" si="3"/>
        <v>42700</v>
      </c>
      <c r="O137" s="139">
        <f t="shared" si="4"/>
        <v>0.6441666667</v>
      </c>
      <c r="P137" s="140" t="str">
        <f t="shared" si="5"/>
        <v>Chaqueta Cortavientos L Negro</v>
      </c>
      <c r="Q137" s="105"/>
      <c r="R137" s="151">
        <f t="shared" si="6"/>
        <v>0</v>
      </c>
      <c r="T137" s="143">
        <f t="shared" si="7"/>
        <v>160000</v>
      </c>
      <c r="W137" s="144"/>
      <c r="X137" s="105">
        <f t="shared" si="8"/>
        <v>342000</v>
      </c>
      <c r="Y137" s="139">
        <f t="shared" si="9"/>
        <v>0.6254385965</v>
      </c>
      <c r="Z137" s="144"/>
      <c r="AA137" s="105">
        <f t="shared" si="10"/>
        <v>666000</v>
      </c>
      <c r="AB137" s="139">
        <f t="shared" si="11"/>
        <v>0.6153153153</v>
      </c>
      <c r="AC137" s="144">
        <f t="shared" si="12"/>
        <v>432000</v>
      </c>
      <c r="AD137" s="105">
        <f t="shared" si="13"/>
        <v>1296000</v>
      </c>
      <c r="AE137" s="139">
        <f t="shared" si="14"/>
        <v>0.6046296296</v>
      </c>
    </row>
    <row r="138" ht="14.25" customHeight="1">
      <c r="A138" s="133" t="s">
        <v>512</v>
      </c>
      <c r="B138" s="133" t="s">
        <v>627</v>
      </c>
      <c r="C138" s="133" t="s">
        <v>616</v>
      </c>
      <c r="D138" s="133" t="s">
        <v>617</v>
      </c>
      <c r="E138" s="134">
        <v>4.0</v>
      </c>
      <c r="F138" s="135" t="str">
        <f>IF(A138="","",VLOOKUP(A138,'Cotizador Compras'!$A$5:$J$21,2,FALSE))</f>
        <v>AUREN</v>
      </c>
      <c r="G138" s="136">
        <f>IF(A138="","",VLOOKUP(A138,'Cotizador Compras'!$A$5:$J$21,3,FALSE))</f>
        <v>40000</v>
      </c>
      <c r="H138" s="105">
        <f>IF(OR(A138="",D138=""),"",IF(D138="Sin estampar",0,IF(D138="Pecho",VLOOKUP(A138,'Cotizador Compras'!$A$5:$J$21,4,FALSE),IF(D138="Espalda",VLOOKUP(A138,'Cotizador Compras'!$A$5:$J$21,5,FALSE),VLOOKUP(A138,'Cotizador Compras'!$A$5:$J$21,4,FALSE)+VLOOKUP(A138,'Cotizador Compras'!$A$5:$J$21,5,FALSE)))))</f>
        <v>0</v>
      </c>
      <c r="I138" s="105">
        <f>IF(A138="","",VLOOKUP(A138,'Cotizador Compras'!$A$5:$J$21,6,FALSE))</f>
        <v>1700</v>
      </c>
      <c r="J138" s="105">
        <f>IF(A138="","",VLOOKUP(A138,'Cotizador Compras'!$A$5:$J$21,7,FALSE))</f>
        <v>1000</v>
      </c>
      <c r="K138" s="137">
        <f t="shared" si="1"/>
        <v>170800</v>
      </c>
      <c r="L138" s="105">
        <f>IF(A138="","",IF(D138="Sin estampar",VLOOKUP(A138,'Cotizador Compras'!$A$5:$J$21,8,FALSE),IF(D138="Pecho",VLOOKUP(A138,'Cotizador Compras'!$A$5:$J$21,10,FALSE),VLOOKUP(A138,'Cotizador Compras'!$A$5:$J$21,9,FALSE))))</f>
        <v>120000</v>
      </c>
      <c r="M138" s="138">
        <f t="shared" si="2"/>
        <v>480000</v>
      </c>
      <c r="N138" s="105">
        <f t="shared" si="3"/>
        <v>42700</v>
      </c>
      <c r="O138" s="139">
        <f t="shared" si="4"/>
        <v>0.6441666667</v>
      </c>
      <c r="P138" s="140" t="str">
        <f t="shared" si="5"/>
        <v>Chaqueta Cortavientos XL Negro</v>
      </c>
      <c r="Q138" s="105"/>
      <c r="R138" s="151">
        <f t="shared" si="6"/>
        <v>0</v>
      </c>
      <c r="T138" s="143">
        <f t="shared" si="7"/>
        <v>160000</v>
      </c>
      <c r="W138" s="144"/>
      <c r="X138" s="105">
        <f t="shared" si="8"/>
        <v>342000</v>
      </c>
      <c r="Y138" s="139">
        <f t="shared" si="9"/>
        <v>0.6254385965</v>
      </c>
      <c r="Z138" s="144"/>
      <c r="AA138" s="105">
        <f t="shared" si="10"/>
        <v>666000</v>
      </c>
      <c r="AB138" s="139">
        <f t="shared" si="11"/>
        <v>0.6153153153</v>
      </c>
      <c r="AC138" s="144">
        <f t="shared" si="12"/>
        <v>432000</v>
      </c>
      <c r="AD138" s="105">
        <f t="shared" si="13"/>
        <v>1296000</v>
      </c>
      <c r="AE138" s="139">
        <f t="shared" si="14"/>
        <v>0.6046296296</v>
      </c>
    </row>
    <row r="139" ht="14.25" customHeight="1">
      <c r="A139" s="133" t="s">
        <v>512</v>
      </c>
      <c r="B139" s="133" t="s">
        <v>619</v>
      </c>
      <c r="C139" s="132" t="s">
        <v>628</v>
      </c>
      <c r="D139" s="133" t="s">
        <v>617</v>
      </c>
      <c r="E139" s="134">
        <v>4.0</v>
      </c>
      <c r="F139" s="135" t="str">
        <f>IF(A139="","",VLOOKUP(A139,'Cotizador Compras'!$A$5:$J$21,2,FALSE))</f>
        <v>AUREN</v>
      </c>
      <c r="G139" s="136">
        <f>IF(A139="","",VLOOKUP(A139,'Cotizador Compras'!$A$5:$J$21,3,FALSE))</f>
        <v>40000</v>
      </c>
      <c r="H139" s="105">
        <f>IF(OR(A139="",D139=""),"",IF(D139="Sin estampar",0,IF(D139="Pecho",VLOOKUP(A139,'Cotizador Compras'!$A$5:$J$21,4,FALSE),IF(D139="Espalda",VLOOKUP(A139,'Cotizador Compras'!$A$5:$J$21,5,FALSE),VLOOKUP(A139,'Cotizador Compras'!$A$5:$J$21,4,FALSE)+VLOOKUP(A139,'Cotizador Compras'!$A$5:$J$21,5,FALSE)))))</f>
        <v>0</v>
      </c>
      <c r="I139" s="105">
        <f>IF(A139="","",VLOOKUP(A139,'Cotizador Compras'!$A$5:$J$21,6,FALSE))</f>
        <v>1700</v>
      </c>
      <c r="J139" s="105">
        <f>IF(A139="","",VLOOKUP(A139,'Cotizador Compras'!$A$5:$J$21,7,FALSE))</f>
        <v>1000</v>
      </c>
      <c r="K139" s="137">
        <f t="shared" si="1"/>
        <v>170800</v>
      </c>
      <c r="L139" s="105">
        <f>IF(A139="","",IF(D139="Sin estampar",VLOOKUP(A139,'Cotizador Compras'!$A$5:$J$21,8,FALSE),IF(D139="Pecho",VLOOKUP(A139,'Cotizador Compras'!$A$5:$J$21,10,FALSE),VLOOKUP(A139,'Cotizador Compras'!$A$5:$J$21,9,FALSE))))</f>
        <v>120000</v>
      </c>
      <c r="M139" s="138">
        <f t="shared" si="2"/>
        <v>480000</v>
      </c>
      <c r="N139" s="105">
        <f t="shared" si="3"/>
        <v>42700</v>
      </c>
      <c r="O139" s="139">
        <f t="shared" si="4"/>
        <v>0.6441666667</v>
      </c>
      <c r="P139" s="140" t="str">
        <f t="shared" si="5"/>
        <v>Chaqueta Cortavientos M Beige</v>
      </c>
      <c r="Q139" s="105"/>
      <c r="R139" s="151">
        <f t="shared" si="6"/>
        <v>0</v>
      </c>
      <c r="T139" s="143">
        <f t="shared" si="7"/>
        <v>160000</v>
      </c>
      <c r="W139" s="144"/>
      <c r="X139" s="105">
        <f t="shared" si="8"/>
        <v>342000</v>
      </c>
      <c r="Y139" s="139">
        <f t="shared" si="9"/>
        <v>0.6254385965</v>
      </c>
      <c r="Z139" s="144"/>
      <c r="AA139" s="105">
        <f t="shared" si="10"/>
        <v>666000</v>
      </c>
      <c r="AB139" s="139">
        <f t="shared" si="11"/>
        <v>0.6153153153</v>
      </c>
      <c r="AC139" s="144">
        <f t="shared" si="12"/>
        <v>432000</v>
      </c>
      <c r="AD139" s="105">
        <f t="shared" si="13"/>
        <v>1296000</v>
      </c>
      <c r="AE139" s="139">
        <f t="shared" si="14"/>
        <v>0.6046296296</v>
      </c>
    </row>
    <row r="140" ht="14.25" customHeight="1">
      <c r="A140" s="133" t="s">
        <v>512</v>
      </c>
      <c r="B140" s="133" t="s">
        <v>623</v>
      </c>
      <c r="C140" s="132" t="s">
        <v>628</v>
      </c>
      <c r="D140" s="133" t="s">
        <v>617</v>
      </c>
      <c r="E140" s="134">
        <v>4.0</v>
      </c>
      <c r="F140" s="135" t="str">
        <f>IF(A140="","",VLOOKUP(A140,'Cotizador Compras'!$A$5:$J$21,2,FALSE))</f>
        <v>AUREN</v>
      </c>
      <c r="G140" s="136">
        <f>IF(A140="","",VLOOKUP(A140,'Cotizador Compras'!$A$5:$J$21,3,FALSE))</f>
        <v>40000</v>
      </c>
      <c r="H140" s="105">
        <f>IF(OR(A140="",D140=""),"",IF(D140="Sin estampar",0,IF(D140="Pecho",VLOOKUP(A140,'Cotizador Compras'!$A$5:$J$21,4,FALSE),IF(D140="Espalda",VLOOKUP(A140,'Cotizador Compras'!$A$5:$J$21,5,FALSE),VLOOKUP(A140,'Cotizador Compras'!$A$5:$J$21,4,FALSE)+VLOOKUP(A140,'Cotizador Compras'!$A$5:$J$21,5,FALSE)))))</f>
        <v>0</v>
      </c>
      <c r="I140" s="105">
        <f>IF(A140="","",VLOOKUP(A140,'Cotizador Compras'!$A$5:$J$21,6,FALSE))</f>
        <v>1700</v>
      </c>
      <c r="J140" s="105">
        <f>IF(A140="","",VLOOKUP(A140,'Cotizador Compras'!$A$5:$J$21,7,FALSE))</f>
        <v>1000</v>
      </c>
      <c r="K140" s="137">
        <f t="shared" si="1"/>
        <v>170800</v>
      </c>
      <c r="L140" s="105">
        <f>IF(A140="","",IF(D140="Sin estampar",VLOOKUP(A140,'Cotizador Compras'!$A$5:$J$21,8,FALSE),IF(D140="Pecho",VLOOKUP(A140,'Cotizador Compras'!$A$5:$J$21,10,FALSE),VLOOKUP(A140,'Cotizador Compras'!$A$5:$J$21,9,FALSE))))</f>
        <v>120000</v>
      </c>
      <c r="M140" s="138">
        <f t="shared" si="2"/>
        <v>480000</v>
      </c>
      <c r="N140" s="105">
        <f t="shared" si="3"/>
        <v>42700</v>
      </c>
      <c r="O140" s="139">
        <f t="shared" si="4"/>
        <v>0.6441666667</v>
      </c>
      <c r="P140" s="140" t="str">
        <f t="shared" si="5"/>
        <v>Chaqueta Cortavientos L Beige</v>
      </c>
      <c r="Q140" s="105"/>
      <c r="R140" s="151">
        <f t="shared" si="6"/>
        <v>0</v>
      </c>
      <c r="T140" s="143">
        <f t="shared" si="7"/>
        <v>160000</v>
      </c>
      <c r="W140" s="144"/>
      <c r="X140" s="105">
        <f t="shared" si="8"/>
        <v>342000</v>
      </c>
      <c r="Y140" s="139">
        <f t="shared" si="9"/>
        <v>0.6254385965</v>
      </c>
      <c r="Z140" s="144"/>
      <c r="AA140" s="105">
        <f t="shared" si="10"/>
        <v>666000</v>
      </c>
      <c r="AB140" s="139">
        <f t="shared" si="11"/>
        <v>0.6153153153</v>
      </c>
      <c r="AC140" s="144">
        <f t="shared" si="12"/>
        <v>432000</v>
      </c>
      <c r="AD140" s="105">
        <f t="shared" si="13"/>
        <v>1296000</v>
      </c>
      <c r="AE140" s="139">
        <f t="shared" si="14"/>
        <v>0.6046296296</v>
      </c>
    </row>
    <row r="141" ht="14.25" customHeight="1">
      <c r="A141" s="133" t="s">
        <v>512</v>
      </c>
      <c r="B141" s="133" t="s">
        <v>627</v>
      </c>
      <c r="C141" s="132" t="s">
        <v>628</v>
      </c>
      <c r="D141" s="133" t="s">
        <v>617</v>
      </c>
      <c r="E141" s="134">
        <v>4.0</v>
      </c>
      <c r="F141" s="135" t="str">
        <f>IF(A141="","",VLOOKUP(A141,'Cotizador Compras'!$A$5:$J$21,2,FALSE))</f>
        <v>AUREN</v>
      </c>
      <c r="G141" s="136">
        <f>IF(A141="","",VLOOKUP(A141,'Cotizador Compras'!$A$5:$J$21,3,FALSE))</f>
        <v>40000</v>
      </c>
      <c r="H141" s="105">
        <f>IF(OR(A141="",D141=""),"",IF(D141="Sin estampar",0,IF(D141="Pecho",VLOOKUP(A141,'Cotizador Compras'!$A$5:$J$21,4,FALSE),IF(D141="Espalda",VLOOKUP(A141,'Cotizador Compras'!$A$5:$J$21,5,FALSE),VLOOKUP(A141,'Cotizador Compras'!$A$5:$J$21,4,FALSE)+VLOOKUP(A141,'Cotizador Compras'!$A$5:$J$21,5,FALSE)))))</f>
        <v>0</v>
      </c>
      <c r="I141" s="105">
        <f>IF(A141="","",VLOOKUP(A141,'Cotizador Compras'!$A$5:$J$21,6,FALSE))</f>
        <v>1700</v>
      </c>
      <c r="J141" s="105">
        <f>IF(A141="","",VLOOKUP(A141,'Cotizador Compras'!$A$5:$J$21,7,FALSE))</f>
        <v>1000</v>
      </c>
      <c r="K141" s="137">
        <f t="shared" si="1"/>
        <v>170800</v>
      </c>
      <c r="L141" s="105">
        <f>IF(A141="","",IF(D141="Sin estampar",VLOOKUP(A141,'Cotizador Compras'!$A$5:$J$21,8,FALSE),IF(D141="Pecho",VLOOKUP(A141,'Cotizador Compras'!$A$5:$J$21,10,FALSE),VLOOKUP(A141,'Cotizador Compras'!$A$5:$J$21,9,FALSE))))</f>
        <v>120000</v>
      </c>
      <c r="M141" s="138">
        <f t="shared" si="2"/>
        <v>480000</v>
      </c>
      <c r="N141" s="105">
        <f t="shared" si="3"/>
        <v>42700</v>
      </c>
      <c r="O141" s="139">
        <f t="shared" si="4"/>
        <v>0.6441666667</v>
      </c>
      <c r="P141" s="140" t="str">
        <f t="shared" si="5"/>
        <v>Chaqueta Cortavientos XL Beige</v>
      </c>
      <c r="Q141" s="105"/>
      <c r="R141" s="151">
        <f t="shared" si="6"/>
        <v>0</v>
      </c>
      <c r="T141" s="143">
        <f t="shared" si="7"/>
        <v>160000</v>
      </c>
      <c r="W141" s="144"/>
      <c r="X141" s="105">
        <f t="shared" si="8"/>
        <v>342000</v>
      </c>
      <c r="Y141" s="139">
        <f t="shared" si="9"/>
        <v>0.6254385965</v>
      </c>
      <c r="Z141" s="144"/>
      <c r="AA141" s="105">
        <f t="shared" si="10"/>
        <v>666000</v>
      </c>
      <c r="AB141" s="139">
        <f t="shared" si="11"/>
        <v>0.6153153153</v>
      </c>
      <c r="AC141" s="144">
        <f t="shared" si="12"/>
        <v>432000</v>
      </c>
      <c r="AD141" s="105">
        <f t="shared" si="13"/>
        <v>1296000</v>
      </c>
      <c r="AE141" s="139">
        <f t="shared" si="14"/>
        <v>0.6046296296</v>
      </c>
    </row>
    <row r="142" ht="14.25" customHeight="1">
      <c r="A142" s="133" t="s">
        <v>512</v>
      </c>
      <c r="B142" s="133" t="s">
        <v>619</v>
      </c>
      <c r="C142" s="132" t="s">
        <v>638</v>
      </c>
      <c r="D142" s="133" t="s">
        <v>617</v>
      </c>
      <c r="E142" s="134">
        <v>4.0</v>
      </c>
      <c r="F142" s="135" t="str">
        <f>IF(A142="","",VLOOKUP(A142,'Cotizador Compras'!$A$5:$J$21,2,FALSE))</f>
        <v>AUREN</v>
      </c>
      <c r="G142" s="136">
        <f>IF(A142="","",VLOOKUP(A142,'Cotizador Compras'!$A$5:$J$21,3,FALSE))</f>
        <v>40000</v>
      </c>
      <c r="H142" s="105">
        <f>IF(OR(A142="",D142=""),"",IF(D142="Sin estampar",0,IF(D142="Pecho",VLOOKUP(A142,'Cotizador Compras'!$A$5:$J$21,4,FALSE),IF(D142="Espalda",VLOOKUP(A142,'Cotizador Compras'!$A$5:$J$21,5,FALSE),VLOOKUP(A142,'Cotizador Compras'!$A$5:$J$21,4,FALSE)+VLOOKUP(A142,'Cotizador Compras'!$A$5:$J$21,5,FALSE)))))</f>
        <v>0</v>
      </c>
      <c r="I142" s="105">
        <f>IF(A142="","",VLOOKUP(A142,'Cotizador Compras'!$A$5:$J$21,6,FALSE))</f>
        <v>1700</v>
      </c>
      <c r="J142" s="105">
        <f>IF(A142="","",VLOOKUP(A142,'Cotizador Compras'!$A$5:$J$21,7,FALSE))</f>
        <v>1000</v>
      </c>
      <c r="K142" s="137">
        <f t="shared" si="1"/>
        <v>170800</v>
      </c>
      <c r="L142" s="105">
        <f>IF(A142="","",IF(D142="Sin estampar",VLOOKUP(A142,'Cotizador Compras'!$A$5:$J$21,8,FALSE),IF(D142="Pecho",VLOOKUP(A142,'Cotizador Compras'!$A$5:$J$21,10,FALSE),VLOOKUP(A142,'Cotizador Compras'!$A$5:$J$21,9,FALSE))))</f>
        <v>120000</v>
      </c>
      <c r="M142" s="138">
        <f t="shared" si="2"/>
        <v>480000</v>
      </c>
      <c r="N142" s="105">
        <f t="shared" si="3"/>
        <v>42700</v>
      </c>
      <c r="O142" s="139">
        <f t="shared" si="4"/>
        <v>0.6441666667</v>
      </c>
      <c r="P142" s="140" t="str">
        <f t="shared" si="5"/>
        <v>Chaqueta Cortavientos M Verde Botella</v>
      </c>
      <c r="Q142" s="105"/>
      <c r="R142" s="151">
        <f t="shared" si="6"/>
        <v>0</v>
      </c>
      <c r="T142" s="143">
        <f t="shared" si="7"/>
        <v>160000</v>
      </c>
      <c r="W142" s="144"/>
      <c r="X142" s="105">
        <f t="shared" si="8"/>
        <v>342000</v>
      </c>
      <c r="Y142" s="139">
        <f t="shared" si="9"/>
        <v>0.6254385965</v>
      </c>
      <c r="Z142" s="144"/>
      <c r="AA142" s="105">
        <f t="shared" si="10"/>
        <v>666000</v>
      </c>
      <c r="AB142" s="139">
        <f t="shared" si="11"/>
        <v>0.6153153153</v>
      </c>
      <c r="AC142" s="144">
        <f t="shared" si="12"/>
        <v>432000</v>
      </c>
      <c r="AD142" s="105">
        <f t="shared" si="13"/>
        <v>1296000</v>
      </c>
      <c r="AE142" s="139">
        <f t="shared" si="14"/>
        <v>0.6046296296</v>
      </c>
    </row>
    <row r="143" ht="14.25" customHeight="1">
      <c r="A143" s="133" t="s">
        <v>512</v>
      </c>
      <c r="B143" s="133" t="s">
        <v>623</v>
      </c>
      <c r="C143" s="132" t="s">
        <v>638</v>
      </c>
      <c r="D143" s="133" t="s">
        <v>617</v>
      </c>
      <c r="E143" s="134">
        <v>4.0</v>
      </c>
      <c r="F143" s="135" t="str">
        <f>IF(A143="","",VLOOKUP(A143,'Cotizador Compras'!$A$5:$J$21,2,FALSE))</f>
        <v>AUREN</v>
      </c>
      <c r="G143" s="136">
        <f>IF(A143="","",VLOOKUP(A143,'Cotizador Compras'!$A$5:$J$21,3,FALSE))</f>
        <v>40000</v>
      </c>
      <c r="H143" s="105">
        <f>IF(OR(A143="",D143=""),"",IF(D143="Sin estampar",0,IF(D143="Pecho",VLOOKUP(A143,'Cotizador Compras'!$A$5:$J$21,4,FALSE),IF(D143="Espalda",VLOOKUP(A143,'Cotizador Compras'!$A$5:$J$21,5,FALSE),VLOOKUP(A143,'Cotizador Compras'!$A$5:$J$21,4,FALSE)+VLOOKUP(A143,'Cotizador Compras'!$A$5:$J$21,5,FALSE)))))</f>
        <v>0</v>
      </c>
      <c r="I143" s="105">
        <f>IF(A143="","",VLOOKUP(A143,'Cotizador Compras'!$A$5:$J$21,6,FALSE))</f>
        <v>1700</v>
      </c>
      <c r="J143" s="105">
        <f>IF(A143="","",VLOOKUP(A143,'Cotizador Compras'!$A$5:$J$21,7,FALSE))</f>
        <v>1000</v>
      </c>
      <c r="K143" s="137">
        <f t="shared" si="1"/>
        <v>170800</v>
      </c>
      <c r="L143" s="105">
        <f>IF(A143="","",IF(D143="Sin estampar",VLOOKUP(A143,'Cotizador Compras'!$A$5:$J$21,8,FALSE),IF(D143="Pecho",VLOOKUP(A143,'Cotizador Compras'!$A$5:$J$21,10,FALSE),VLOOKUP(A143,'Cotizador Compras'!$A$5:$J$21,9,FALSE))))</f>
        <v>120000</v>
      </c>
      <c r="M143" s="138">
        <f t="shared" si="2"/>
        <v>480000</v>
      </c>
      <c r="N143" s="105">
        <f t="shared" si="3"/>
        <v>42700</v>
      </c>
      <c r="O143" s="139">
        <f t="shared" si="4"/>
        <v>0.6441666667</v>
      </c>
      <c r="P143" s="140" t="str">
        <f t="shared" si="5"/>
        <v>Chaqueta Cortavientos L Verde Botella</v>
      </c>
      <c r="Q143" s="105"/>
      <c r="R143" s="151">
        <f t="shared" si="6"/>
        <v>0</v>
      </c>
      <c r="T143" s="143">
        <f t="shared" si="7"/>
        <v>160000</v>
      </c>
      <c r="W143" s="144"/>
      <c r="X143" s="105">
        <f t="shared" si="8"/>
        <v>342000</v>
      </c>
      <c r="Y143" s="139">
        <f t="shared" si="9"/>
        <v>0.6254385965</v>
      </c>
      <c r="Z143" s="144"/>
      <c r="AA143" s="105">
        <f t="shared" si="10"/>
        <v>666000</v>
      </c>
      <c r="AB143" s="139">
        <f t="shared" si="11"/>
        <v>0.6153153153</v>
      </c>
      <c r="AC143" s="144">
        <f t="shared" si="12"/>
        <v>432000</v>
      </c>
      <c r="AD143" s="105">
        <f t="shared" si="13"/>
        <v>1296000</v>
      </c>
      <c r="AE143" s="139">
        <f t="shared" si="14"/>
        <v>0.6046296296</v>
      </c>
    </row>
    <row r="144" ht="14.25" customHeight="1">
      <c r="A144" s="133" t="s">
        <v>512</v>
      </c>
      <c r="B144" s="133" t="s">
        <v>627</v>
      </c>
      <c r="C144" s="132" t="s">
        <v>638</v>
      </c>
      <c r="D144" s="133" t="s">
        <v>617</v>
      </c>
      <c r="E144" s="134">
        <v>4.0</v>
      </c>
      <c r="F144" s="135" t="str">
        <f>IF(A144="","",VLOOKUP(A144,'Cotizador Compras'!$A$5:$J$21,2,FALSE))</f>
        <v>AUREN</v>
      </c>
      <c r="G144" s="136">
        <f>IF(A144="","",VLOOKUP(A144,'Cotizador Compras'!$A$5:$J$21,3,FALSE))</f>
        <v>40000</v>
      </c>
      <c r="H144" s="105">
        <f>IF(OR(A144="",D144=""),"",IF(D144="Sin estampar",0,IF(D144="Pecho",VLOOKUP(A144,'Cotizador Compras'!$A$5:$J$21,4,FALSE),IF(D144="Espalda",VLOOKUP(A144,'Cotizador Compras'!$A$5:$J$21,5,FALSE),VLOOKUP(A144,'Cotizador Compras'!$A$5:$J$21,4,FALSE)+VLOOKUP(A144,'Cotizador Compras'!$A$5:$J$21,5,FALSE)))))</f>
        <v>0</v>
      </c>
      <c r="I144" s="105">
        <f>IF(A144="","",VLOOKUP(A144,'Cotizador Compras'!$A$5:$J$21,6,FALSE))</f>
        <v>1700</v>
      </c>
      <c r="J144" s="105">
        <f>IF(A144="","",VLOOKUP(A144,'Cotizador Compras'!$A$5:$J$21,7,FALSE))</f>
        <v>1000</v>
      </c>
      <c r="K144" s="137">
        <f t="shared" si="1"/>
        <v>170800</v>
      </c>
      <c r="L144" s="105">
        <f>IF(A144="","",IF(D144="Sin estampar",VLOOKUP(A144,'Cotizador Compras'!$A$5:$J$21,8,FALSE),IF(D144="Pecho",VLOOKUP(A144,'Cotizador Compras'!$A$5:$J$21,10,FALSE),VLOOKUP(A144,'Cotizador Compras'!$A$5:$J$21,9,FALSE))))</f>
        <v>120000</v>
      </c>
      <c r="M144" s="138">
        <f t="shared" si="2"/>
        <v>480000</v>
      </c>
      <c r="N144" s="105">
        <f t="shared" si="3"/>
        <v>42700</v>
      </c>
      <c r="O144" s="139">
        <f t="shared" si="4"/>
        <v>0.6441666667</v>
      </c>
      <c r="P144" s="140" t="str">
        <f t="shared" si="5"/>
        <v>Chaqueta Cortavientos XL Verde Botella</v>
      </c>
      <c r="Q144" s="105"/>
      <c r="R144" s="151">
        <f t="shared" si="6"/>
        <v>0</v>
      </c>
      <c r="T144" s="143">
        <f t="shared" si="7"/>
        <v>160000</v>
      </c>
      <c r="W144" s="144"/>
      <c r="X144" s="105">
        <f t="shared" si="8"/>
        <v>342000</v>
      </c>
      <c r="Y144" s="139">
        <f t="shared" si="9"/>
        <v>0.6254385965</v>
      </c>
      <c r="Z144" s="144"/>
      <c r="AA144" s="105">
        <f t="shared" si="10"/>
        <v>666000</v>
      </c>
      <c r="AB144" s="139">
        <f t="shared" si="11"/>
        <v>0.6153153153</v>
      </c>
      <c r="AC144" s="144">
        <f t="shared" si="12"/>
        <v>432000</v>
      </c>
      <c r="AD144" s="105">
        <f t="shared" si="13"/>
        <v>1296000</v>
      </c>
      <c r="AE144" s="139">
        <f t="shared" si="14"/>
        <v>0.6046296296</v>
      </c>
    </row>
    <row r="145" ht="14.25" customHeight="1">
      <c r="A145" s="133" t="s">
        <v>518</v>
      </c>
      <c r="B145" s="133" t="s">
        <v>619</v>
      </c>
      <c r="C145" s="133" t="s">
        <v>616</v>
      </c>
      <c r="D145" s="133" t="s">
        <v>617</v>
      </c>
      <c r="E145" s="146">
        <v>2.0</v>
      </c>
      <c r="F145" s="135" t="str">
        <f>IF(A145="","",VLOOKUP(A145,'Cotizador Compras'!$A$5:$J$21,2,FALSE))</f>
        <v>AUREN</v>
      </c>
      <c r="G145" s="136">
        <f>IF(A145="","",VLOOKUP(A145,'Cotizador Compras'!$A$5:$J$21,3,FALSE))</f>
        <v>55000</v>
      </c>
      <c r="H145" s="105">
        <f>IF(OR(A145="",D145=""),"",IF(D145="Sin estampar",0,IF(D145="Pecho",VLOOKUP(A145,'Cotizador Compras'!$A$5:$J$21,4,FALSE),IF(D145="Espalda",VLOOKUP(A145,'Cotizador Compras'!$A$5:$J$21,5,FALSE),VLOOKUP(A145,'Cotizador Compras'!$A$5:$J$21,4,FALSE)+VLOOKUP(A145,'Cotizador Compras'!$A$5:$J$21,5,FALSE)))))</f>
        <v>0</v>
      </c>
      <c r="I145" s="105">
        <f>IF(A145="","",VLOOKUP(A145,'Cotizador Compras'!$A$5:$J$21,6,FALSE))</f>
        <v>1700</v>
      </c>
      <c r="J145" s="105">
        <f>IF(A145="","",VLOOKUP(A145,'Cotizador Compras'!$A$5:$J$21,7,FALSE))</f>
        <v>1000</v>
      </c>
      <c r="K145" s="137">
        <f t="shared" si="1"/>
        <v>115400</v>
      </c>
      <c r="L145" s="105">
        <f>IF(A145="","",IF(D145="Sin estampar",VLOOKUP(A145,'Cotizador Compras'!$A$5:$J$21,8,FALSE),IF(D145="Pecho",VLOOKUP(A145,'Cotizador Compras'!$A$5:$J$21,10,FALSE),VLOOKUP(A145,'Cotizador Compras'!$A$5:$J$21,9,FALSE))))</f>
        <v>90000</v>
      </c>
      <c r="M145" s="138">
        <f t="shared" si="2"/>
        <v>180000</v>
      </c>
      <c r="N145" s="105">
        <f t="shared" si="3"/>
        <v>57700</v>
      </c>
      <c r="O145" s="139">
        <f t="shared" si="4"/>
        <v>0.3588888889</v>
      </c>
      <c r="P145" s="140" t="str">
        <f t="shared" si="5"/>
        <v>Sudadera Bota Recta M Negro</v>
      </c>
      <c r="Q145" s="105"/>
      <c r="R145" s="151">
        <f t="shared" si="6"/>
        <v>0</v>
      </c>
      <c r="T145" s="143">
        <f t="shared" si="7"/>
        <v>110000</v>
      </c>
      <c r="W145" s="144"/>
      <c r="X145" s="105">
        <f t="shared" si="8"/>
        <v>258000</v>
      </c>
      <c r="Y145" s="139">
        <f t="shared" si="9"/>
        <v>0.3290697674</v>
      </c>
      <c r="Z145" s="144"/>
      <c r="AA145" s="105">
        <f t="shared" si="10"/>
        <v>504000</v>
      </c>
      <c r="AB145" s="139">
        <f t="shared" si="11"/>
        <v>0.3130952381</v>
      </c>
      <c r="AC145" s="144">
        <f t="shared" si="12"/>
        <v>162000</v>
      </c>
      <c r="AD145" s="105">
        <f t="shared" si="13"/>
        <v>972000</v>
      </c>
      <c r="AE145" s="139">
        <f t="shared" si="14"/>
        <v>0.287654321</v>
      </c>
    </row>
    <row r="146" ht="14.25" customHeight="1">
      <c r="A146" s="133" t="s">
        <v>518</v>
      </c>
      <c r="B146" s="133" t="s">
        <v>623</v>
      </c>
      <c r="C146" s="132" t="s">
        <v>616</v>
      </c>
      <c r="D146" s="133" t="s">
        <v>617</v>
      </c>
      <c r="E146" s="146">
        <v>2.0</v>
      </c>
      <c r="F146" s="135" t="str">
        <f>IF(A146="","",VLOOKUP(A146,'Cotizador Compras'!$A$5:$J$21,2,FALSE))</f>
        <v>AUREN</v>
      </c>
      <c r="G146" s="136">
        <f>IF(A146="","",VLOOKUP(A146,'Cotizador Compras'!$A$5:$J$21,3,FALSE))</f>
        <v>55000</v>
      </c>
      <c r="H146" s="105">
        <f>IF(OR(A146="",D146=""),"",IF(D146="Sin estampar",0,IF(D146="Pecho",VLOOKUP(A146,'Cotizador Compras'!$A$5:$J$21,4,FALSE),IF(D146="Espalda",VLOOKUP(A146,'Cotizador Compras'!$A$5:$J$21,5,FALSE),VLOOKUP(A146,'Cotizador Compras'!$A$5:$J$21,4,FALSE)+VLOOKUP(A146,'Cotizador Compras'!$A$5:$J$21,5,FALSE)))))</f>
        <v>0</v>
      </c>
      <c r="I146" s="105">
        <f>IF(A146="","",VLOOKUP(A146,'Cotizador Compras'!$A$5:$J$21,6,FALSE))</f>
        <v>1700</v>
      </c>
      <c r="J146" s="105">
        <f>IF(A146="","",VLOOKUP(A146,'Cotizador Compras'!$A$5:$J$21,7,FALSE))</f>
        <v>1000</v>
      </c>
      <c r="K146" s="137">
        <f t="shared" si="1"/>
        <v>115400</v>
      </c>
      <c r="L146" s="105">
        <f>IF(A146="","",IF(D146="Sin estampar",VLOOKUP(A146,'Cotizador Compras'!$A$5:$J$21,8,FALSE),IF(D146="Pecho",VLOOKUP(A146,'Cotizador Compras'!$A$5:$J$21,10,FALSE),VLOOKUP(A146,'Cotizador Compras'!$A$5:$J$21,9,FALSE))))</f>
        <v>90000</v>
      </c>
      <c r="M146" s="138">
        <f t="shared" si="2"/>
        <v>180000</v>
      </c>
      <c r="N146" s="105">
        <f t="shared" si="3"/>
        <v>57700</v>
      </c>
      <c r="O146" s="139">
        <f t="shared" si="4"/>
        <v>0.3588888889</v>
      </c>
      <c r="P146" s="140" t="str">
        <f t="shared" si="5"/>
        <v>Sudadera Bota Recta L Negro</v>
      </c>
      <c r="Q146" s="105"/>
      <c r="R146" s="151">
        <f t="shared" si="6"/>
        <v>0</v>
      </c>
      <c r="T146" s="143">
        <f t="shared" si="7"/>
        <v>110000</v>
      </c>
      <c r="W146" s="144"/>
      <c r="X146" s="105">
        <f t="shared" si="8"/>
        <v>258000</v>
      </c>
      <c r="Y146" s="139">
        <f t="shared" si="9"/>
        <v>0.3290697674</v>
      </c>
      <c r="Z146" s="144"/>
      <c r="AA146" s="105">
        <f t="shared" si="10"/>
        <v>504000</v>
      </c>
      <c r="AB146" s="139">
        <f t="shared" si="11"/>
        <v>0.3130952381</v>
      </c>
      <c r="AC146" s="144">
        <f t="shared" si="12"/>
        <v>162000</v>
      </c>
      <c r="AD146" s="105">
        <f t="shared" si="13"/>
        <v>972000</v>
      </c>
      <c r="AE146" s="139">
        <f t="shared" si="14"/>
        <v>0.287654321</v>
      </c>
    </row>
    <row r="147" ht="14.25" customHeight="1">
      <c r="A147" s="133" t="s">
        <v>518</v>
      </c>
      <c r="B147" s="133" t="s">
        <v>627</v>
      </c>
      <c r="C147" s="132" t="s">
        <v>616</v>
      </c>
      <c r="D147" s="133" t="s">
        <v>617</v>
      </c>
      <c r="E147" s="146">
        <v>2.0</v>
      </c>
      <c r="F147" s="135" t="str">
        <f>IF(A147="","",VLOOKUP(A147,'Cotizador Compras'!$A$5:$J$21,2,FALSE))</f>
        <v>AUREN</v>
      </c>
      <c r="G147" s="136">
        <f>IF(A147="","",VLOOKUP(A147,'Cotizador Compras'!$A$5:$J$21,3,FALSE))</f>
        <v>55000</v>
      </c>
      <c r="H147" s="105">
        <f>IF(OR(A147="",D147=""),"",IF(D147="Sin estampar",0,IF(D147="Pecho",VLOOKUP(A147,'Cotizador Compras'!$A$5:$J$21,4,FALSE),IF(D147="Espalda",VLOOKUP(A147,'Cotizador Compras'!$A$5:$J$21,5,FALSE),VLOOKUP(A147,'Cotizador Compras'!$A$5:$J$21,4,FALSE)+VLOOKUP(A147,'Cotizador Compras'!$A$5:$J$21,5,FALSE)))))</f>
        <v>0</v>
      </c>
      <c r="I147" s="105">
        <f>IF(A147="","",VLOOKUP(A147,'Cotizador Compras'!$A$5:$J$21,6,FALSE))</f>
        <v>1700</v>
      </c>
      <c r="J147" s="105">
        <f>IF(A147="","",VLOOKUP(A147,'Cotizador Compras'!$A$5:$J$21,7,FALSE))</f>
        <v>1000</v>
      </c>
      <c r="K147" s="137">
        <f t="shared" si="1"/>
        <v>115400</v>
      </c>
      <c r="L147" s="105">
        <f>IF(A147="","",IF(D147="Sin estampar",VLOOKUP(A147,'Cotizador Compras'!$A$5:$J$21,8,FALSE),IF(D147="Pecho",VLOOKUP(A147,'Cotizador Compras'!$A$5:$J$21,10,FALSE),VLOOKUP(A147,'Cotizador Compras'!$A$5:$J$21,9,FALSE))))</f>
        <v>90000</v>
      </c>
      <c r="M147" s="138">
        <f t="shared" si="2"/>
        <v>180000</v>
      </c>
      <c r="N147" s="105">
        <f t="shared" si="3"/>
        <v>57700</v>
      </c>
      <c r="O147" s="139">
        <f t="shared" si="4"/>
        <v>0.3588888889</v>
      </c>
      <c r="P147" s="140" t="str">
        <f t="shared" si="5"/>
        <v>Sudadera Bota Recta XL Negro</v>
      </c>
      <c r="Q147" s="105"/>
      <c r="R147" s="151">
        <f t="shared" si="6"/>
        <v>0</v>
      </c>
      <c r="T147" s="143">
        <f t="shared" si="7"/>
        <v>110000</v>
      </c>
      <c r="W147" s="144"/>
      <c r="X147" s="105">
        <f t="shared" si="8"/>
        <v>258000</v>
      </c>
      <c r="Y147" s="139">
        <f t="shared" si="9"/>
        <v>0.3290697674</v>
      </c>
      <c r="Z147" s="144"/>
      <c r="AA147" s="105">
        <f t="shared" si="10"/>
        <v>504000</v>
      </c>
      <c r="AB147" s="139">
        <f t="shared" si="11"/>
        <v>0.3130952381</v>
      </c>
      <c r="AC147" s="144">
        <f t="shared" si="12"/>
        <v>162000</v>
      </c>
      <c r="AD147" s="105">
        <f t="shared" si="13"/>
        <v>972000</v>
      </c>
      <c r="AE147" s="139">
        <f t="shared" si="14"/>
        <v>0.287654321</v>
      </c>
    </row>
    <row r="148" ht="14.25" customHeight="1">
      <c r="A148" s="133" t="s">
        <v>518</v>
      </c>
      <c r="B148" s="133" t="s">
        <v>619</v>
      </c>
      <c r="C148" s="132" t="s">
        <v>628</v>
      </c>
      <c r="D148" s="133" t="s">
        <v>617</v>
      </c>
      <c r="E148" s="146">
        <v>2.0</v>
      </c>
      <c r="F148" s="135" t="str">
        <f>IF(A148="","",VLOOKUP(A148,'Cotizador Compras'!$A$5:$J$21,2,FALSE))</f>
        <v>AUREN</v>
      </c>
      <c r="G148" s="136">
        <f>IF(A148="","",VLOOKUP(A148,'Cotizador Compras'!$A$5:$J$21,3,FALSE))</f>
        <v>55000</v>
      </c>
      <c r="H148" s="105">
        <f>IF(OR(A148="",D148=""),"",IF(D148="Sin estampar",0,IF(D148="Pecho",VLOOKUP(A148,'Cotizador Compras'!$A$5:$J$21,4,FALSE),IF(D148="Espalda",VLOOKUP(A148,'Cotizador Compras'!$A$5:$J$21,5,FALSE),VLOOKUP(A148,'Cotizador Compras'!$A$5:$J$21,4,FALSE)+VLOOKUP(A148,'Cotizador Compras'!$A$5:$J$21,5,FALSE)))))</f>
        <v>0</v>
      </c>
      <c r="I148" s="105">
        <f>IF(A148="","",VLOOKUP(A148,'Cotizador Compras'!$A$5:$J$21,6,FALSE))</f>
        <v>1700</v>
      </c>
      <c r="J148" s="105">
        <f>IF(A148="","",VLOOKUP(A148,'Cotizador Compras'!$A$5:$J$21,7,FALSE))</f>
        <v>1000</v>
      </c>
      <c r="K148" s="137">
        <f t="shared" si="1"/>
        <v>115400</v>
      </c>
      <c r="L148" s="105">
        <f>IF(A148="","",IF(D148="Sin estampar",VLOOKUP(A148,'Cotizador Compras'!$A$5:$J$21,8,FALSE),IF(D148="Pecho",VLOOKUP(A148,'Cotizador Compras'!$A$5:$J$21,10,FALSE),VLOOKUP(A148,'Cotizador Compras'!$A$5:$J$21,9,FALSE))))</f>
        <v>90000</v>
      </c>
      <c r="M148" s="138">
        <f t="shared" si="2"/>
        <v>180000</v>
      </c>
      <c r="N148" s="105">
        <f t="shared" si="3"/>
        <v>57700</v>
      </c>
      <c r="O148" s="139">
        <f t="shared" si="4"/>
        <v>0.3588888889</v>
      </c>
      <c r="P148" s="140" t="str">
        <f t="shared" si="5"/>
        <v>Sudadera Bota Recta M Beige</v>
      </c>
      <c r="Q148" s="105"/>
      <c r="R148" s="151">
        <f t="shared" si="6"/>
        <v>0</v>
      </c>
      <c r="T148" s="143">
        <f t="shared" si="7"/>
        <v>110000</v>
      </c>
      <c r="W148" s="144"/>
      <c r="X148" s="105">
        <f t="shared" si="8"/>
        <v>258000</v>
      </c>
      <c r="Y148" s="139">
        <f t="shared" si="9"/>
        <v>0.3290697674</v>
      </c>
      <c r="Z148" s="144"/>
      <c r="AA148" s="105">
        <f t="shared" si="10"/>
        <v>504000</v>
      </c>
      <c r="AB148" s="139">
        <f t="shared" si="11"/>
        <v>0.3130952381</v>
      </c>
      <c r="AC148" s="144">
        <f t="shared" si="12"/>
        <v>162000</v>
      </c>
      <c r="AD148" s="105">
        <f t="shared" si="13"/>
        <v>972000</v>
      </c>
      <c r="AE148" s="139">
        <f t="shared" si="14"/>
        <v>0.287654321</v>
      </c>
    </row>
    <row r="149" ht="14.25" customHeight="1">
      <c r="A149" s="133" t="s">
        <v>518</v>
      </c>
      <c r="B149" s="133" t="s">
        <v>623</v>
      </c>
      <c r="C149" s="132" t="s">
        <v>628</v>
      </c>
      <c r="D149" s="133" t="s">
        <v>617</v>
      </c>
      <c r="E149" s="146">
        <v>2.0</v>
      </c>
      <c r="F149" s="135" t="str">
        <f>IF(A149="","",VLOOKUP(A149,'Cotizador Compras'!$A$5:$J$21,2,FALSE))</f>
        <v>AUREN</v>
      </c>
      <c r="G149" s="136">
        <f>IF(A149="","",VLOOKUP(A149,'Cotizador Compras'!$A$5:$J$21,3,FALSE))</f>
        <v>55000</v>
      </c>
      <c r="H149" s="105">
        <f>IF(OR(A149="",D149=""),"",IF(D149="Sin estampar",0,IF(D149="Pecho",VLOOKUP(A149,'Cotizador Compras'!$A$5:$J$21,4,FALSE),IF(D149="Espalda",VLOOKUP(A149,'Cotizador Compras'!$A$5:$J$21,5,FALSE),VLOOKUP(A149,'Cotizador Compras'!$A$5:$J$21,4,FALSE)+VLOOKUP(A149,'Cotizador Compras'!$A$5:$J$21,5,FALSE)))))</f>
        <v>0</v>
      </c>
      <c r="I149" s="105">
        <f>IF(A149="","",VLOOKUP(A149,'Cotizador Compras'!$A$5:$J$21,6,FALSE))</f>
        <v>1700</v>
      </c>
      <c r="J149" s="105">
        <f>IF(A149="","",VLOOKUP(A149,'Cotizador Compras'!$A$5:$J$21,7,FALSE))</f>
        <v>1000</v>
      </c>
      <c r="K149" s="137">
        <f t="shared" si="1"/>
        <v>115400</v>
      </c>
      <c r="L149" s="105">
        <f>IF(A149="","",IF(D149="Sin estampar",VLOOKUP(A149,'Cotizador Compras'!$A$5:$J$21,8,FALSE),IF(D149="Pecho",VLOOKUP(A149,'Cotizador Compras'!$A$5:$J$21,10,FALSE),VLOOKUP(A149,'Cotizador Compras'!$A$5:$J$21,9,FALSE))))</f>
        <v>90000</v>
      </c>
      <c r="M149" s="138">
        <f t="shared" si="2"/>
        <v>180000</v>
      </c>
      <c r="N149" s="105">
        <f t="shared" si="3"/>
        <v>57700</v>
      </c>
      <c r="O149" s="139">
        <f t="shared" si="4"/>
        <v>0.3588888889</v>
      </c>
      <c r="P149" s="140" t="str">
        <f t="shared" si="5"/>
        <v>Sudadera Bota Recta L Beige</v>
      </c>
      <c r="Q149" s="105"/>
      <c r="R149" s="151">
        <f t="shared" si="6"/>
        <v>0</v>
      </c>
      <c r="T149" s="143">
        <f t="shared" si="7"/>
        <v>110000</v>
      </c>
      <c r="W149" s="144"/>
      <c r="X149" s="105">
        <f t="shared" si="8"/>
        <v>258000</v>
      </c>
      <c r="Y149" s="139">
        <f t="shared" si="9"/>
        <v>0.3290697674</v>
      </c>
      <c r="Z149" s="144"/>
      <c r="AA149" s="105">
        <f t="shared" si="10"/>
        <v>504000</v>
      </c>
      <c r="AB149" s="139">
        <f t="shared" si="11"/>
        <v>0.3130952381</v>
      </c>
      <c r="AC149" s="144">
        <f t="shared" si="12"/>
        <v>162000</v>
      </c>
      <c r="AD149" s="105">
        <f t="shared" si="13"/>
        <v>972000</v>
      </c>
      <c r="AE149" s="139">
        <f t="shared" si="14"/>
        <v>0.287654321</v>
      </c>
    </row>
    <row r="150" ht="14.25" customHeight="1">
      <c r="A150" s="133" t="s">
        <v>518</v>
      </c>
      <c r="B150" s="133" t="s">
        <v>627</v>
      </c>
      <c r="C150" s="132" t="s">
        <v>628</v>
      </c>
      <c r="D150" s="133" t="s">
        <v>617</v>
      </c>
      <c r="E150" s="146">
        <v>2.0</v>
      </c>
      <c r="F150" s="135" t="str">
        <f>IF(A150="","",VLOOKUP(A150,'Cotizador Compras'!$A$5:$J$21,2,FALSE))</f>
        <v>AUREN</v>
      </c>
      <c r="G150" s="136">
        <f>IF(A150="","",VLOOKUP(A150,'Cotizador Compras'!$A$5:$J$21,3,FALSE))</f>
        <v>55000</v>
      </c>
      <c r="H150" s="105">
        <f>IF(OR(A150="",D150=""),"",IF(D150="Sin estampar",0,IF(D150="Pecho",VLOOKUP(A150,'Cotizador Compras'!$A$5:$J$21,4,FALSE),IF(D150="Espalda",VLOOKUP(A150,'Cotizador Compras'!$A$5:$J$21,5,FALSE),VLOOKUP(A150,'Cotizador Compras'!$A$5:$J$21,4,FALSE)+VLOOKUP(A150,'Cotizador Compras'!$A$5:$J$21,5,FALSE)))))</f>
        <v>0</v>
      </c>
      <c r="I150" s="105">
        <f>IF(A150="","",VLOOKUP(A150,'Cotizador Compras'!$A$5:$J$21,6,FALSE))</f>
        <v>1700</v>
      </c>
      <c r="J150" s="105">
        <f>IF(A150="","",VLOOKUP(A150,'Cotizador Compras'!$A$5:$J$21,7,FALSE))</f>
        <v>1000</v>
      </c>
      <c r="K150" s="137">
        <f t="shared" si="1"/>
        <v>115400</v>
      </c>
      <c r="L150" s="105">
        <f>IF(A150="","",IF(D150="Sin estampar",VLOOKUP(A150,'Cotizador Compras'!$A$5:$J$21,8,FALSE),IF(D150="Pecho",VLOOKUP(A150,'Cotizador Compras'!$A$5:$J$21,10,FALSE),VLOOKUP(A150,'Cotizador Compras'!$A$5:$J$21,9,FALSE))))</f>
        <v>90000</v>
      </c>
      <c r="M150" s="138">
        <f t="shared" si="2"/>
        <v>180000</v>
      </c>
      <c r="N150" s="105">
        <f t="shared" si="3"/>
        <v>57700</v>
      </c>
      <c r="O150" s="139">
        <f t="shared" si="4"/>
        <v>0.3588888889</v>
      </c>
      <c r="P150" s="140" t="str">
        <f t="shared" si="5"/>
        <v>Sudadera Bota Recta XL Beige</v>
      </c>
      <c r="Q150" s="105"/>
      <c r="R150" s="151">
        <f t="shared" si="6"/>
        <v>0</v>
      </c>
      <c r="T150" s="143">
        <f t="shared" si="7"/>
        <v>110000</v>
      </c>
      <c r="W150" s="144"/>
      <c r="X150" s="105">
        <f t="shared" si="8"/>
        <v>258000</v>
      </c>
      <c r="Y150" s="139">
        <f t="shared" si="9"/>
        <v>0.3290697674</v>
      </c>
      <c r="Z150" s="144"/>
      <c r="AA150" s="105">
        <f t="shared" si="10"/>
        <v>504000</v>
      </c>
      <c r="AB150" s="139">
        <f t="shared" si="11"/>
        <v>0.3130952381</v>
      </c>
      <c r="AC150" s="144">
        <f t="shared" si="12"/>
        <v>162000</v>
      </c>
      <c r="AD150" s="105">
        <f t="shared" si="13"/>
        <v>972000</v>
      </c>
      <c r="AE150" s="139">
        <f t="shared" si="14"/>
        <v>0.287654321</v>
      </c>
    </row>
    <row r="151" ht="14.25" customHeight="1">
      <c r="A151" s="133" t="s">
        <v>511</v>
      </c>
      <c r="B151" s="133" t="s">
        <v>619</v>
      </c>
      <c r="C151" s="132" t="s">
        <v>628</v>
      </c>
      <c r="D151" s="133" t="s">
        <v>617</v>
      </c>
      <c r="E151" s="134">
        <v>4.0</v>
      </c>
      <c r="F151" s="135" t="str">
        <f>IF(A151="","",VLOOKUP(A151,'Cotizador Compras'!$A$5:$J$21,2,FALSE))</f>
        <v>AUREN</v>
      </c>
      <c r="G151" s="136">
        <f>IF(A151="","",VLOOKUP(A151,'Cotizador Compras'!$A$5:$J$21,3,FALSE))</f>
        <v>45000</v>
      </c>
      <c r="H151" s="105">
        <f>IF(OR(A151="",D151=""),"",IF(D151="Sin estampar",0,IF(D151="Pecho",VLOOKUP(A151,'Cotizador Compras'!$A$5:$J$21,4,FALSE),IF(D151="Espalda",VLOOKUP(A151,'Cotizador Compras'!$A$5:$J$21,5,FALSE),VLOOKUP(A151,'Cotizador Compras'!$A$5:$J$21,4,FALSE)+VLOOKUP(A151,'Cotizador Compras'!$A$5:$J$21,5,FALSE)))))</f>
        <v>0</v>
      </c>
      <c r="I151" s="105">
        <f>IF(A151="","",VLOOKUP(A151,'Cotizador Compras'!$A$5:$J$21,6,FALSE))</f>
        <v>1700</v>
      </c>
      <c r="J151" s="105">
        <f>IF(A151="","",VLOOKUP(A151,'Cotizador Compras'!$A$5:$J$21,7,FALSE))</f>
        <v>1000</v>
      </c>
      <c r="K151" s="137">
        <f t="shared" si="1"/>
        <v>190800</v>
      </c>
      <c r="L151" s="105">
        <f>IF(A151="","",IF(D151="Sin estampar",VLOOKUP(A151,'Cotizador Compras'!$A$5:$J$21,8,FALSE),IF(D151="Pecho",VLOOKUP(A151,'Cotizador Compras'!$A$5:$J$21,10,FALSE),VLOOKUP(A151,'Cotizador Compras'!$A$5:$J$21,9,FALSE))))</f>
        <v>90000</v>
      </c>
      <c r="M151" s="138">
        <f t="shared" si="2"/>
        <v>360000</v>
      </c>
      <c r="N151" s="105">
        <f t="shared" si="3"/>
        <v>47700</v>
      </c>
      <c r="O151" s="139">
        <f t="shared" si="4"/>
        <v>0.47</v>
      </c>
      <c r="P151" s="140" t="str">
        <f t="shared" si="5"/>
        <v>Pantaloneta M Beige</v>
      </c>
      <c r="Q151" s="105"/>
      <c r="R151" s="151">
        <f t="shared" si="6"/>
        <v>0</v>
      </c>
      <c r="T151" s="143">
        <f t="shared" si="7"/>
        <v>180000</v>
      </c>
      <c r="W151" s="144"/>
      <c r="X151" s="105">
        <f t="shared" si="8"/>
        <v>258000</v>
      </c>
      <c r="Y151" s="139">
        <f t="shared" si="9"/>
        <v>0.4453488372</v>
      </c>
      <c r="Z151" s="144"/>
      <c r="AA151" s="105">
        <f t="shared" si="10"/>
        <v>504000</v>
      </c>
      <c r="AB151" s="139">
        <f t="shared" si="11"/>
        <v>0.4321428571</v>
      </c>
      <c r="AC151" s="144">
        <f t="shared" si="12"/>
        <v>324000</v>
      </c>
      <c r="AD151" s="105">
        <f t="shared" si="13"/>
        <v>972000</v>
      </c>
      <c r="AE151" s="139">
        <f t="shared" si="14"/>
        <v>0.4111111111</v>
      </c>
    </row>
    <row r="152" ht="14.25" customHeight="1">
      <c r="A152" s="133" t="s">
        <v>511</v>
      </c>
      <c r="B152" s="133" t="s">
        <v>623</v>
      </c>
      <c r="C152" s="132" t="s">
        <v>628</v>
      </c>
      <c r="D152" s="133" t="s">
        <v>617</v>
      </c>
      <c r="E152" s="134">
        <v>4.0</v>
      </c>
      <c r="F152" s="135" t="str">
        <f>IF(A152="","",VLOOKUP(A152,'Cotizador Compras'!$A$5:$J$21,2,FALSE))</f>
        <v>AUREN</v>
      </c>
      <c r="G152" s="136">
        <f>IF(A152="","",VLOOKUP(A152,'Cotizador Compras'!$A$5:$J$21,3,FALSE))</f>
        <v>45000</v>
      </c>
      <c r="H152" s="105">
        <f>IF(OR(A152="",D152=""),"",IF(D152="Sin estampar",0,IF(D152="Pecho",VLOOKUP(A152,'Cotizador Compras'!$A$5:$J$21,4,FALSE),IF(D152="Espalda",VLOOKUP(A152,'Cotizador Compras'!$A$5:$J$21,5,FALSE),VLOOKUP(A152,'Cotizador Compras'!$A$5:$J$21,4,FALSE)+VLOOKUP(A152,'Cotizador Compras'!$A$5:$J$21,5,FALSE)))))</f>
        <v>0</v>
      </c>
      <c r="I152" s="105">
        <f>IF(A152="","",VLOOKUP(A152,'Cotizador Compras'!$A$5:$J$21,6,FALSE))</f>
        <v>1700</v>
      </c>
      <c r="J152" s="105">
        <f>IF(A152="","",VLOOKUP(A152,'Cotizador Compras'!$A$5:$J$21,7,FALSE))</f>
        <v>1000</v>
      </c>
      <c r="K152" s="137">
        <f t="shared" si="1"/>
        <v>190800</v>
      </c>
      <c r="L152" s="105">
        <f>IF(A152="","",IF(D152="Sin estampar",VLOOKUP(A152,'Cotizador Compras'!$A$5:$J$21,8,FALSE),IF(D152="Pecho",VLOOKUP(A152,'Cotizador Compras'!$A$5:$J$21,10,FALSE),VLOOKUP(A152,'Cotizador Compras'!$A$5:$J$21,9,FALSE))))</f>
        <v>90000</v>
      </c>
      <c r="M152" s="138">
        <f t="shared" si="2"/>
        <v>360000</v>
      </c>
      <c r="N152" s="105">
        <f t="shared" si="3"/>
        <v>47700</v>
      </c>
      <c r="O152" s="139">
        <f t="shared" si="4"/>
        <v>0.47</v>
      </c>
      <c r="P152" s="140" t="str">
        <f t="shared" si="5"/>
        <v>Pantaloneta L Beige</v>
      </c>
      <c r="Q152" s="105"/>
      <c r="R152" s="151">
        <f t="shared" si="6"/>
        <v>0</v>
      </c>
      <c r="T152" s="143">
        <f t="shared" si="7"/>
        <v>180000</v>
      </c>
      <c r="W152" s="144"/>
      <c r="X152" s="105">
        <f t="shared" si="8"/>
        <v>258000</v>
      </c>
      <c r="Y152" s="139">
        <f t="shared" si="9"/>
        <v>0.4453488372</v>
      </c>
      <c r="Z152" s="144"/>
      <c r="AA152" s="105">
        <f t="shared" si="10"/>
        <v>504000</v>
      </c>
      <c r="AB152" s="139">
        <f t="shared" si="11"/>
        <v>0.4321428571</v>
      </c>
      <c r="AC152" s="144">
        <f t="shared" si="12"/>
        <v>324000</v>
      </c>
      <c r="AD152" s="105">
        <f t="shared" si="13"/>
        <v>972000</v>
      </c>
      <c r="AE152" s="139">
        <f t="shared" si="14"/>
        <v>0.4111111111</v>
      </c>
    </row>
    <row r="153" ht="14.25" customHeight="1">
      <c r="A153" s="133" t="s">
        <v>511</v>
      </c>
      <c r="B153" s="133" t="s">
        <v>627</v>
      </c>
      <c r="C153" s="132" t="s">
        <v>628</v>
      </c>
      <c r="D153" s="133" t="s">
        <v>617</v>
      </c>
      <c r="E153" s="134">
        <v>4.0</v>
      </c>
      <c r="F153" s="135" t="str">
        <f>IF(A153="","",VLOOKUP(A153,'Cotizador Compras'!$A$5:$J$21,2,FALSE))</f>
        <v>AUREN</v>
      </c>
      <c r="G153" s="136">
        <f>IF(A153="","",VLOOKUP(A153,'Cotizador Compras'!$A$5:$J$21,3,FALSE))</f>
        <v>45000</v>
      </c>
      <c r="H153" s="105">
        <f>IF(OR(A153="",D153=""),"",IF(D153="Sin estampar",0,IF(D153="Pecho",VLOOKUP(A153,'Cotizador Compras'!$A$5:$J$21,4,FALSE),IF(D153="Espalda",VLOOKUP(A153,'Cotizador Compras'!$A$5:$J$21,5,FALSE),VLOOKUP(A153,'Cotizador Compras'!$A$5:$J$21,4,FALSE)+VLOOKUP(A153,'Cotizador Compras'!$A$5:$J$21,5,FALSE)))))</f>
        <v>0</v>
      </c>
      <c r="I153" s="105">
        <f>IF(A153="","",VLOOKUP(A153,'Cotizador Compras'!$A$5:$J$21,6,FALSE))</f>
        <v>1700</v>
      </c>
      <c r="J153" s="105">
        <f>IF(A153="","",VLOOKUP(A153,'Cotizador Compras'!$A$5:$J$21,7,FALSE))</f>
        <v>1000</v>
      </c>
      <c r="K153" s="137">
        <f t="shared" si="1"/>
        <v>190800</v>
      </c>
      <c r="L153" s="105">
        <f>IF(A153="","",IF(D153="Sin estampar",VLOOKUP(A153,'Cotizador Compras'!$A$5:$J$21,8,FALSE),IF(D153="Pecho",VLOOKUP(A153,'Cotizador Compras'!$A$5:$J$21,10,FALSE),VLOOKUP(A153,'Cotizador Compras'!$A$5:$J$21,9,FALSE))))</f>
        <v>90000</v>
      </c>
      <c r="M153" s="138">
        <f t="shared" si="2"/>
        <v>360000</v>
      </c>
      <c r="N153" s="105">
        <f t="shared" si="3"/>
        <v>47700</v>
      </c>
      <c r="O153" s="139">
        <f t="shared" si="4"/>
        <v>0.47</v>
      </c>
      <c r="P153" s="140" t="str">
        <f t="shared" si="5"/>
        <v>Pantaloneta XL Beige</v>
      </c>
      <c r="Q153" s="105"/>
      <c r="R153" s="151">
        <f t="shared" si="6"/>
        <v>0</v>
      </c>
      <c r="T153" s="143">
        <f t="shared" si="7"/>
        <v>180000</v>
      </c>
      <c r="W153" s="144"/>
      <c r="X153" s="105">
        <f t="shared" si="8"/>
        <v>258000</v>
      </c>
      <c r="Y153" s="139">
        <f t="shared" si="9"/>
        <v>0.4453488372</v>
      </c>
      <c r="Z153" s="144"/>
      <c r="AA153" s="105">
        <f t="shared" si="10"/>
        <v>504000</v>
      </c>
      <c r="AB153" s="139">
        <f t="shared" si="11"/>
        <v>0.4321428571</v>
      </c>
      <c r="AC153" s="144">
        <f t="shared" si="12"/>
        <v>324000</v>
      </c>
      <c r="AD153" s="105">
        <f t="shared" si="13"/>
        <v>972000</v>
      </c>
      <c r="AE153" s="139">
        <f t="shared" si="14"/>
        <v>0.4111111111</v>
      </c>
    </row>
    <row r="154" ht="14.25" customHeight="1">
      <c r="A154" s="133" t="s">
        <v>511</v>
      </c>
      <c r="B154" s="133" t="s">
        <v>619</v>
      </c>
      <c r="C154" s="132" t="s">
        <v>628</v>
      </c>
      <c r="D154" s="133" t="s">
        <v>617</v>
      </c>
      <c r="E154" s="134">
        <v>4.0</v>
      </c>
      <c r="F154" s="135" t="str">
        <f>IF(A154="","",VLOOKUP(A154,'Cotizador Compras'!$A$5:$J$21,2,FALSE))</f>
        <v>AUREN</v>
      </c>
      <c r="G154" s="136">
        <f>IF(A154="","",VLOOKUP(A154,'Cotizador Compras'!$A$5:$J$21,3,FALSE))</f>
        <v>45000</v>
      </c>
      <c r="H154" s="105">
        <f>IF(OR(A154="",D154=""),"",IF(D154="Sin estampar",0,IF(D154="Pecho",VLOOKUP(A154,'Cotizador Compras'!$A$5:$J$21,4,FALSE),IF(D154="Espalda",VLOOKUP(A154,'Cotizador Compras'!$A$5:$J$21,5,FALSE),VLOOKUP(A154,'Cotizador Compras'!$A$5:$J$21,4,FALSE)+VLOOKUP(A154,'Cotizador Compras'!$A$5:$J$21,5,FALSE)))))</f>
        <v>0</v>
      </c>
      <c r="I154" s="105">
        <f>IF(A154="","",VLOOKUP(A154,'Cotizador Compras'!$A$5:$J$21,6,FALSE))</f>
        <v>1700</v>
      </c>
      <c r="J154" s="105">
        <f>IF(A154="","",VLOOKUP(A154,'Cotizador Compras'!$A$5:$J$21,7,FALSE))</f>
        <v>1000</v>
      </c>
      <c r="K154" s="137">
        <f t="shared" si="1"/>
        <v>190800</v>
      </c>
      <c r="L154" s="105">
        <f>IF(A154="","",IF(D154="Sin estampar",VLOOKUP(A154,'Cotizador Compras'!$A$5:$J$21,8,FALSE),IF(D154="Pecho",VLOOKUP(A154,'Cotizador Compras'!$A$5:$J$21,10,FALSE),VLOOKUP(A154,'Cotizador Compras'!$A$5:$J$21,9,FALSE))))</f>
        <v>90000</v>
      </c>
      <c r="M154" s="138">
        <f t="shared" si="2"/>
        <v>360000</v>
      </c>
      <c r="N154" s="105">
        <f t="shared" si="3"/>
        <v>47700</v>
      </c>
      <c r="O154" s="139">
        <f t="shared" si="4"/>
        <v>0.47</v>
      </c>
      <c r="P154" s="140" t="str">
        <f t="shared" si="5"/>
        <v>Pantaloneta M Beige</v>
      </c>
      <c r="Q154" s="105"/>
      <c r="R154" s="151">
        <f t="shared" si="6"/>
        <v>0</v>
      </c>
      <c r="T154" s="143">
        <f t="shared" si="7"/>
        <v>180000</v>
      </c>
      <c r="W154" s="144"/>
      <c r="X154" s="105">
        <f t="shared" si="8"/>
        <v>258000</v>
      </c>
      <c r="Y154" s="139">
        <f t="shared" si="9"/>
        <v>0.4453488372</v>
      </c>
      <c r="Z154" s="144"/>
      <c r="AA154" s="105">
        <f t="shared" si="10"/>
        <v>504000</v>
      </c>
      <c r="AB154" s="139">
        <f t="shared" si="11"/>
        <v>0.4321428571</v>
      </c>
      <c r="AC154" s="144">
        <f t="shared" si="12"/>
        <v>324000</v>
      </c>
      <c r="AD154" s="105">
        <f t="shared" si="13"/>
        <v>972000</v>
      </c>
      <c r="AE154" s="139">
        <f t="shared" si="14"/>
        <v>0.4111111111</v>
      </c>
    </row>
    <row r="155" ht="14.25" customHeight="1">
      <c r="A155" s="133" t="s">
        <v>511</v>
      </c>
      <c r="B155" s="133" t="s">
        <v>623</v>
      </c>
      <c r="C155" s="132" t="s">
        <v>628</v>
      </c>
      <c r="D155" s="133" t="s">
        <v>617</v>
      </c>
      <c r="E155" s="134">
        <v>4.0</v>
      </c>
      <c r="F155" s="135" t="str">
        <f>IF(A155="","",VLOOKUP(A155,'Cotizador Compras'!$A$5:$J$21,2,FALSE))</f>
        <v>AUREN</v>
      </c>
      <c r="G155" s="136">
        <f>IF(A155="","",VLOOKUP(A155,'Cotizador Compras'!$A$5:$J$21,3,FALSE))</f>
        <v>45000</v>
      </c>
      <c r="H155" s="105">
        <f>IF(OR(A155="",D155=""),"",IF(D155="Sin estampar",0,IF(D155="Pecho",VLOOKUP(A155,'Cotizador Compras'!$A$5:$J$21,4,FALSE),IF(D155="Espalda",VLOOKUP(A155,'Cotizador Compras'!$A$5:$J$21,5,FALSE),VLOOKUP(A155,'Cotizador Compras'!$A$5:$J$21,4,FALSE)+VLOOKUP(A155,'Cotizador Compras'!$A$5:$J$21,5,FALSE)))))</f>
        <v>0</v>
      </c>
      <c r="I155" s="105">
        <f>IF(A155="","",VLOOKUP(A155,'Cotizador Compras'!$A$5:$J$21,6,FALSE))</f>
        <v>1700</v>
      </c>
      <c r="J155" s="105">
        <f>IF(A155="","",VLOOKUP(A155,'Cotizador Compras'!$A$5:$J$21,7,FALSE))</f>
        <v>1000</v>
      </c>
      <c r="K155" s="137">
        <f t="shared" si="1"/>
        <v>190800</v>
      </c>
      <c r="L155" s="105">
        <f>IF(A155="","",IF(D155="Sin estampar",VLOOKUP(A155,'Cotizador Compras'!$A$5:$J$21,8,FALSE),IF(D155="Pecho",VLOOKUP(A155,'Cotizador Compras'!$A$5:$J$21,10,FALSE),VLOOKUP(A155,'Cotizador Compras'!$A$5:$J$21,9,FALSE))))</f>
        <v>90000</v>
      </c>
      <c r="M155" s="138">
        <f t="shared" si="2"/>
        <v>360000</v>
      </c>
      <c r="N155" s="105">
        <f t="shared" si="3"/>
        <v>47700</v>
      </c>
      <c r="O155" s="139">
        <f t="shared" si="4"/>
        <v>0.47</v>
      </c>
      <c r="P155" s="140" t="str">
        <f t="shared" si="5"/>
        <v>Pantaloneta L Beige</v>
      </c>
      <c r="Q155" s="105"/>
      <c r="R155" s="151">
        <f t="shared" si="6"/>
        <v>0</v>
      </c>
      <c r="T155" s="143">
        <f t="shared" si="7"/>
        <v>180000</v>
      </c>
      <c r="W155" s="144"/>
      <c r="X155" s="105">
        <f t="shared" si="8"/>
        <v>258000</v>
      </c>
      <c r="Y155" s="139">
        <f t="shared" si="9"/>
        <v>0.4453488372</v>
      </c>
      <c r="Z155" s="144"/>
      <c r="AA155" s="105">
        <f t="shared" si="10"/>
        <v>504000</v>
      </c>
      <c r="AB155" s="139">
        <f t="shared" si="11"/>
        <v>0.4321428571</v>
      </c>
      <c r="AC155" s="144">
        <f t="shared" si="12"/>
        <v>324000</v>
      </c>
      <c r="AD155" s="105">
        <f t="shared" si="13"/>
        <v>972000</v>
      </c>
      <c r="AE155" s="139">
        <f t="shared" si="14"/>
        <v>0.4111111111</v>
      </c>
    </row>
    <row r="156" ht="14.25" customHeight="1">
      <c r="A156" s="133" t="s">
        <v>511</v>
      </c>
      <c r="B156" s="133" t="s">
        <v>627</v>
      </c>
      <c r="C156" s="132" t="s">
        <v>628</v>
      </c>
      <c r="D156" s="133" t="s">
        <v>617</v>
      </c>
      <c r="E156" s="134">
        <v>4.0</v>
      </c>
      <c r="F156" s="135" t="str">
        <f>IF(A156="","",VLOOKUP(A156,'Cotizador Compras'!$A$5:$J$21,2,FALSE))</f>
        <v>AUREN</v>
      </c>
      <c r="G156" s="136">
        <f>IF(A156="","",VLOOKUP(A156,'Cotizador Compras'!$A$5:$J$21,3,FALSE))</f>
        <v>45000</v>
      </c>
      <c r="H156" s="105">
        <f>IF(OR(A156="",D156=""),"",IF(D156="Sin estampar",0,IF(D156="Pecho",VLOOKUP(A156,'Cotizador Compras'!$A$5:$J$21,4,FALSE),IF(D156="Espalda",VLOOKUP(A156,'Cotizador Compras'!$A$5:$J$21,5,FALSE),VLOOKUP(A156,'Cotizador Compras'!$A$5:$J$21,4,FALSE)+VLOOKUP(A156,'Cotizador Compras'!$A$5:$J$21,5,FALSE)))))</f>
        <v>0</v>
      </c>
      <c r="I156" s="105">
        <f>IF(A156="","",VLOOKUP(A156,'Cotizador Compras'!$A$5:$J$21,6,FALSE))</f>
        <v>1700</v>
      </c>
      <c r="J156" s="105">
        <f>IF(A156="","",VLOOKUP(A156,'Cotizador Compras'!$A$5:$J$21,7,FALSE))</f>
        <v>1000</v>
      </c>
      <c r="K156" s="137">
        <f t="shared" si="1"/>
        <v>190800</v>
      </c>
      <c r="L156" s="105">
        <f>IF(A156="","",IF(D156="Sin estampar",VLOOKUP(A156,'Cotizador Compras'!$A$5:$J$21,8,FALSE),IF(D156="Pecho",VLOOKUP(A156,'Cotizador Compras'!$A$5:$J$21,10,FALSE),VLOOKUP(A156,'Cotizador Compras'!$A$5:$J$21,9,FALSE))))</f>
        <v>90000</v>
      </c>
      <c r="M156" s="138">
        <f t="shared" si="2"/>
        <v>360000</v>
      </c>
      <c r="N156" s="105">
        <f t="shared" si="3"/>
        <v>47700</v>
      </c>
      <c r="O156" s="139">
        <f t="shared" si="4"/>
        <v>0.47</v>
      </c>
      <c r="P156" s="140" t="str">
        <f t="shared" si="5"/>
        <v>Pantaloneta XL Beige</v>
      </c>
      <c r="Q156" s="105"/>
      <c r="R156" s="151">
        <f t="shared" si="6"/>
        <v>0</v>
      </c>
      <c r="T156" s="143">
        <f t="shared" si="7"/>
        <v>180000</v>
      </c>
      <c r="W156" s="144"/>
      <c r="X156" s="105">
        <f t="shared" si="8"/>
        <v>258000</v>
      </c>
      <c r="Y156" s="139">
        <f t="shared" si="9"/>
        <v>0.4453488372</v>
      </c>
      <c r="Z156" s="144"/>
      <c r="AA156" s="105">
        <f t="shared" si="10"/>
        <v>504000</v>
      </c>
      <c r="AB156" s="139">
        <f t="shared" si="11"/>
        <v>0.4321428571</v>
      </c>
      <c r="AC156" s="144">
        <f t="shared" si="12"/>
        <v>324000</v>
      </c>
      <c r="AD156" s="105">
        <f t="shared" si="13"/>
        <v>972000</v>
      </c>
      <c r="AE156" s="139">
        <f t="shared" si="14"/>
        <v>0.4111111111</v>
      </c>
    </row>
    <row r="157" ht="14.25" customHeight="1">
      <c r="A157" s="132" t="s">
        <v>644</v>
      </c>
      <c r="B157" s="133" t="s">
        <v>619</v>
      </c>
      <c r="C157" s="133"/>
      <c r="D157" s="133" t="s">
        <v>617</v>
      </c>
      <c r="E157" s="146">
        <v>3.0</v>
      </c>
      <c r="F157" s="135" t="str">
        <f>IF(A157="","",VLOOKUP(A157,'Cotizador Compras'!$A$5:$J$21,2,FALSE))</f>
        <v>BRACOR</v>
      </c>
      <c r="G157" s="136">
        <f>IF(A157="","",VLOOKUP(A157,'Cotizador Compras'!$A$5:$J$21,3,FALSE))</f>
        <v>60000</v>
      </c>
      <c r="H157" s="105">
        <f>IF(OR(A157="",D157=""),"",IF(D157="Sin estampar",0,IF(D157="Pecho",VLOOKUP(A157,'Cotizador Compras'!$A$5:$J$21,4,FALSE),IF(D157="Espalda",VLOOKUP(A157,'Cotizador Compras'!$A$5:$J$21,5,FALSE),VLOOKUP(A157,'Cotizador Compras'!$A$5:$J$21,4,FALSE)+VLOOKUP(A157,'Cotizador Compras'!$A$5:$J$21,5,FALSE)))))</f>
        <v>0</v>
      </c>
      <c r="I157" s="105" t="str">
        <f>IF(A157="","",VLOOKUP(A157,'Cotizador Compras'!$A$5:$J$21,6,FALSE))</f>
        <v/>
      </c>
      <c r="J157" s="105">
        <f>IF(A157="","",VLOOKUP(A157,'Cotizador Compras'!$A$5:$J$21,7,FALSE))</f>
        <v>1000</v>
      </c>
      <c r="K157" s="137">
        <f t="shared" si="1"/>
        <v>183000</v>
      </c>
      <c r="L157" s="105">
        <f>IF(A157="","",IF(D157="Sin estampar",VLOOKUP(A157,'Cotizador Compras'!$A$5:$J$21,8,FALSE),IF(D157="Pecho",VLOOKUP(A157,'Cotizador Compras'!$A$5:$J$21,10,FALSE),VLOOKUP(A157,'Cotizador Compras'!$A$5:$J$21,9,FALSE))))</f>
        <v>75000</v>
      </c>
      <c r="M157" s="138">
        <f t="shared" si="2"/>
        <v>225000</v>
      </c>
      <c r="N157" s="105">
        <f t="shared" si="3"/>
        <v>61000</v>
      </c>
      <c r="O157" s="139">
        <f t="shared" si="4"/>
        <v>0.1866666667</v>
      </c>
      <c r="P157" s="140" t="str">
        <f t="shared" si="5"/>
        <v>Camisa Réplica Y/Out M </v>
      </c>
      <c r="Q157" s="105"/>
      <c r="R157" s="151">
        <f t="shared" si="6"/>
        <v>0</v>
      </c>
      <c r="T157" s="143">
        <f t="shared" si="7"/>
        <v>180000</v>
      </c>
      <c r="W157" s="144"/>
      <c r="X157" s="105">
        <f t="shared" si="8"/>
        <v>216000</v>
      </c>
      <c r="Y157" s="139">
        <f t="shared" si="9"/>
        <v>0.1527777778</v>
      </c>
      <c r="Z157" s="144"/>
      <c r="AA157" s="105">
        <f t="shared" si="10"/>
        <v>420000</v>
      </c>
      <c r="AB157" s="139">
        <f t="shared" si="11"/>
        <v>0.1285714286</v>
      </c>
      <c r="AC157" s="144">
        <f t="shared" si="12"/>
        <v>204000</v>
      </c>
      <c r="AD157" s="105">
        <f t="shared" si="13"/>
        <v>816000</v>
      </c>
      <c r="AE157" s="139">
        <f t="shared" si="14"/>
        <v>0.1029411765</v>
      </c>
    </row>
    <row r="158" ht="14.25" customHeight="1">
      <c r="A158" s="132" t="s">
        <v>644</v>
      </c>
      <c r="B158" s="133" t="s">
        <v>623</v>
      </c>
      <c r="C158" s="133"/>
      <c r="D158" s="133" t="s">
        <v>617</v>
      </c>
      <c r="E158" s="146">
        <v>3.0</v>
      </c>
      <c r="F158" s="135" t="str">
        <f>IF(A158="","",VLOOKUP(A158,'Cotizador Compras'!$A$5:$J$21,2,FALSE))</f>
        <v>BRACOR</v>
      </c>
      <c r="G158" s="136">
        <f>IF(A158="","",VLOOKUP(A158,'Cotizador Compras'!$A$5:$J$21,3,FALSE))</f>
        <v>60000</v>
      </c>
      <c r="H158" s="105">
        <f>IF(OR(A158="",D158=""),"",IF(D158="Sin estampar",0,IF(D158="Pecho",VLOOKUP(A158,'Cotizador Compras'!$A$5:$J$21,4,FALSE),IF(D158="Espalda",VLOOKUP(A158,'Cotizador Compras'!$A$5:$J$21,5,FALSE),VLOOKUP(A158,'Cotizador Compras'!$A$5:$J$21,4,FALSE)+VLOOKUP(A158,'Cotizador Compras'!$A$5:$J$21,5,FALSE)))))</f>
        <v>0</v>
      </c>
      <c r="I158" s="105" t="str">
        <f>IF(A158="","",VLOOKUP(A158,'Cotizador Compras'!$A$5:$J$21,6,FALSE))</f>
        <v/>
      </c>
      <c r="J158" s="105">
        <f>IF(A158="","",VLOOKUP(A158,'Cotizador Compras'!$A$5:$J$21,7,FALSE))</f>
        <v>1000</v>
      </c>
      <c r="K158" s="137">
        <f t="shared" si="1"/>
        <v>183000</v>
      </c>
      <c r="L158" s="105">
        <f>IF(A158="","",IF(D158="Sin estampar",VLOOKUP(A158,'Cotizador Compras'!$A$5:$J$21,8,FALSE),IF(D158="Pecho",VLOOKUP(A158,'Cotizador Compras'!$A$5:$J$21,10,FALSE),VLOOKUP(A158,'Cotizador Compras'!$A$5:$J$21,9,FALSE))))</f>
        <v>75000</v>
      </c>
      <c r="M158" s="138">
        <f t="shared" si="2"/>
        <v>225000</v>
      </c>
      <c r="N158" s="105">
        <f t="shared" si="3"/>
        <v>61000</v>
      </c>
      <c r="O158" s="139">
        <f t="shared" si="4"/>
        <v>0.1866666667</v>
      </c>
      <c r="P158" s="140" t="str">
        <f t="shared" si="5"/>
        <v>Camisa Réplica Y/Out L </v>
      </c>
      <c r="Q158" s="105"/>
      <c r="R158" s="151">
        <f t="shared" si="6"/>
        <v>0</v>
      </c>
      <c r="T158" s="143">
        <f t="shared" si="7"/>
        <v>180000</v>
      </c>
      <c r="W158" s="144"/>
      <c r="X158" s="105">
        <f t="shared" si="8"/>
        <v>216000</v>
      </c>
      <c r="Y158" s="139">
        <f t="shared" si="9"/>
        <v>0.1527777778</v>
      </c>
      <c r="Z158" s="144"/>
      <c r="AA158" s="105">
        <f t="shared" si="10"/>
        <v>420000</v>
      </c>
      <c r="AB158" s="139">
        <f t="shared" si="11"/>
        <v>0.1285714286</v>
      </c>
      <c r="AC158" s="144">
        <f t="shared" si="12"/>
        <v>204000</v>
      </c>
      <c r="AD158" s="105">
        <f t="shared" si="13"/>
        <v>816000</v>
      </c>
      <c r="AE158" s="139">
        <f t="shared" si="14"/>
        <v>0.1029411765</v>
      </c>
    </row>
    <row r="159" ht="14.25" customHeight="1">
      <c r="A159" s="132" t="s">
        <v>644</v>
      </c>
      <c r="B159" s="133" t="s">
        <v>627</v>
      </c>
      <c r="C159" s="133"/>
      <c r="D159" s="133" t="s">
        <v>617</v>
      </c>
      <c r="E159" s="146">
        <v>2.0</v>
      </c>
      <c r="F159" s="135" t="str">
        <f>IF(A159="","",VLOOKUP(A159,'Cotizador Compras'!$A$5:$J$21,2,FALSE))</f>
        <v>BRACOR</v>
      </c>
      <c r="G159" s="136">
        <f>IF(A159="","",VLOOKUP(A159,'Cotizador Compras'!$A$5:$J$21,3,FALSE))</f>
        <v>60000</v>
      </c>
      <c r="H159" s="105">
        <f>IF(OR(A159="",D159=""),"",IF(D159="Sin estampar",0,IF(D159="Pecho",VLOOKUP(A159,'Cotizador Compras'!$A$5:$J$21,4,FALSE),IF(D159="Espalda",VLOOKUP(A159,'Cotizador Compras'!$A$5:$J$21,5,FALSE),VLOOKUP(A159,'Cotizador Compras'!$A$5:$J$21,4,FALSE)+VLOOKUP(A159,'Cotizador Compras'!$A$5:$J$21,5,FALSE)))))</f>
        <v>0</v>
      </c>
      <c r="I159" s="105" t="str">
        <f>IF(A159="","",VLOOKUP(A159,'Cotizador Compras'!$A$5:$J$21,6,FALSE))</f>
        <v/>
      </c>
      <c r="J159" s="105">
        <f>IF(A159="","",VLOOKUP(A159,'Cotizador Compras'!$A$5:$J$21,7,FALSE))</f>
        <v>1000</v>
      </c>
      <c r="K159" s="137">
        <f t="shared" si="1"/>
        <v>122000</v>
      </c>
      <c r="L159" s="105">
        <f>IF(A159="","",IF(D159="Sin estampar",VLOOKUP(A159,'Cotizador Compras'!$A$5:$J$21,8,FALSE),IF(D159="Pecho",VLOOKUP(A159,'Cotizador Compras'!$A$5:$J$21,10,FALSE),VLOOKUP(A159,'Cotizador Compras'!$A$5:$J$21,9,FALSE))))</f>
        <v>75000</v>
      </c>
      <c r="M159" s="138">
        <f t="shared" si="2"/>
        <v>150000</v>
      </c>
      <c r="N159" s="105">
        <f t="shared" si="3"/>
        <v>61000</v>
      </c>
      <c r="O159" s="139">
        <f t="shared" si="4"/>
        <v>0.1866666667</v>
      </c>
      <c r="P159" s="140" t="str">
        <f t="shared" si="5"/>
        <v>Camisa Réplica Y/Out XL </v>
      </c>
      <c r="Q159" s="105"/>
      <c r="R159" s="151">
        <f t="shared" si="6"/>
        <v>0</v>
      </c>
      <c r="T159" s="143">
        <f t="shared" si="7"/>
        <v>120000</v>
      </c>
      <c r="W159" s="144"/>
      <c r="X159" s="105">
        <f t="shared" si="8"/>
        <v>216000</v>
      </c>
      <c r="Y159" s="139">
        <f t="shared" si="9"/>
        <v>0.1527777778</v>
      </c>
      <c r="Z159" s="144"/>
      <c r="AA159" s="105">
        <f t="shared" si="10"/>
        <v>420000</v>
      </c>
      <c r="AB159" s="139">
        <f t="shared" si="11"/>
        <v>0.1285714286</v>
      </c>
      <c r="AC159" s="144">
        <f t="shared" si="12"/>
        <v>136000</v>
      </c>
      <c r="AD159" s="105">
        <f t="shared" si="13"/>
        <v>816000</v>
      </c>
      <c r="AE159" s="139">
        <f t="shared" si="14"/>
        <v>0.1029411765</v>
      </c>
    </row>
    <row r="160" ht="14.25" customHeight="1">
      <c r="A160" s="133" t="s">
        <v>387</v>
      </c>
      <c r="B160" s="133" t="s">
        <v>619</v>
      </c>
      <c r="C160" s="133"/>
      <c r="D160" s="133" t="s">
        <v>617</v>
      </c>
      <c r="E160" s="146">
        <v>7.0</v>
      </c>
      <c r="F160" s="135" t="str">
        <f>IF(A160="","",VLOOKUP(A160,'Cotizador Compras'!$A$5:$J$21,2,FALSE))</f>
        <v>BRACOR</v>
      </c>
      <c r="G160" s="136">
        <f>IF(A160="","",VLOOKUP(A160,'Cotizador Compras'!$A$5:$J$21,3,FALSE))</f>
        <v>54000</v>
      </c>
      <c r="H160" s="105">
        <f>IF(OR(A160="",D160=""),"",IF(D160="Sin estampar",0,IF(D160="Pecho",VLOOKUP(A160,'Cotizador Compras'!$A$5:$J$21,4,FALSE),IF(D160="Espalda",VLOOKUP(A160,'Cotizador Compras'!$A$5:$J$21,5,FALSE),VLOOKUP(A160,'Cotizador Compras'!$A$5:$J$21,4,FALSE)+VLOOKUP(A160,'Cotizador Compras'!$A$5:$J$21,5,FALSE)))))</f>
        <v>0</v>
      </c>
      <c r="I160" s="105" t="str">
        <f>IF(A160="","",VLOOKUP(A160,'Cotizador Compras'!$A$5:$J$21,6,FALSE))</f>
        <v/>
      </c>
      <c r="J160" s="105">
        <f>IF(A160="","",VLOOKUP(A160,'Cotizador Compras'!$A$5:$J$21,7,FALSE))</f>
        <v>1000</v>
      </c>
      <c r="K160" s="137">
        <f t="shared" si="1"/>
        <v>385000</v>
      </c>
      <c r="L160" s="105">
        <f>IF(A160="","",IF(D160="Sin estampar",VLOOKUP(A160,'Cotizador Compras'!$A$5:$J$21,8,FALSE),IF(D160="Pecho",VLOOKUP(A160,'Cotizador Compras'!$A$5:$J$21,10,FALSE),VLOOKUP(A160,'Cotizador Compras'!$A$5:$J$21,9,FALSE))))</f>
        <v>75000</v>
      </c>
      <c r="M160" s="138">
        <f t="shared" si="2"/>
        <v>525000</v>
      </c>
      <c r="N160" s="105">
        <f t="shared" si="3"/>
        <v>55000</v>
      </c>
      <c r="O160" s="139">
        <f t="shared" si="4"/>
        <v>0.2666666667</v>
      </c>
      <c r="P160" s="140" t="str">
        <f t="shared" si="5"/>
        <v>Camisa Réplica 1.1 M </v>
      </c>
      <c r="Q160" s="105"/>
      <c r="R160" s="151">
        <f t="shared" si="6"/>
        <v>0</v>
      </c>
      <c r="T160" s="143">
        <f t="shared" si="7"/>
        <v>378000</v>
      </c>
      <c r="W160" s="144"/>
      <c r="X160" s="105">
        <f t="shared" si="8"/>
        <v>216000</v>
      </c>
      <c r="Y160" s="139">
        <f t="shared" si="9"/>
        <v>0.2361111111</v>
      </c>
      <c r="Z160" s="144"/>
      <c r="AA160" s="105">
        <f t="shared" si="10"/>
        <v>420000</v>
      </c>
      <c r="AB160" s="139">
        <f t="shared" si="11"/>
        <v>0.2142857143</v>
      </c>
      <c r="AC160" s="144">
        <f t="shared" si="12"/>
        <v>476000</v>
      </c>
      <c r="AD160" s="105">
        <f t="shared" si="13"/>
        <v>816000</v>
      </c>
      <c r="AE160" s="139">
        <f t="shared" si="14"/>
        <v>0.1911764706</v>
      </c>
    </row>
    <row r="161" ht="14.25" customHeight="1">
      <c r="A161" s="133" t="s">
        <v>387</v>
      </c>
      <c r="B161" s="133" t="s">
        <v>623</v>
      </c>
      <c r="C161" s="133"/>
      <c r="D161" s="133" t="s">
        <v>617</v>
      </c>
      <c r="E161" s="146">
        <v>7.0</v>
      </c>
      <c r="F161" s="135" t="str">
        <f>IF(A161="","",VLOOKUP(A161,'Cotizador Compras'!$A$5:$J$21,2,FALSE))</f>
        <v>BRACOR</v>
      </c>
      <c r="G161" s="136">
        <f>IF(A161="","",VLOOKUP(A161,'Cotizador Compras'!$A$5:$J$21,3,FALSE))</f>
        <v>54000</v>
      </c>
      <c r="H161" s="105">
        <f>IF(OR(A161="",D161=""),"",IF(D161="Sin estampar",0,IF(D161="Pecho",VLOOKUP(A161,'Cotizador Compras'!$A$5:$J$21,4,FALSE),IF(D161="Espalda",VLOOKUP(A161,'Cotizador Compras'!$A$5:$J$21,5,FALSE),VLOOKUP(A161,'Cotizador Compras'!$A$5:$J$21,4,FALSE)+VLOOKUP(A161,'Cotizador Compras'!$A$5:$J$21,5,FALSE)))))</f>
        <v>0</v>
      </c>
      <c r="I161" s="105" t="str">
        <f>IF(A161="","",VLOOKUP(A161,'Cotizador Compras'!$A$5:$J$21,6,FALSE))</f>
        <v/>
      </c>
      <c r="J161" s="105">
        <f>IF(A161="","",VLOOKUP(A161,'Cotizador Compras'!$A$5:$J$21,7,FALSE))</f>
        <v>1000</v>
      </c>
      <c r="K161" s="137">
        <f t="shared" si="1"/>
        <v>385000</v>
      </c>
      <c r="L161" s="105">
        <f>IF(A161="","",IF(D161="Sin estampar",VLOOKUP(A161,'Cotizador Compras'!$A$5:$J$21,8,FALSE),IF(D161="Pecho",VLOOKUP(A161,'Cotizador Compras'!$A$5:$J$21,10,FALSE),VLOOKUP(A161,'Cotizador Compras'!$A$5:$J$21,9,FALSE))))</f>
        <v>75000</v>
      </c>
      <c r="M161" s="138">
        <f t="shared" si="2"/>
        <v>525000</v>
      </c>
      <c r="N161" s="105">
        <f t="shared" si="3"/>
        <v>55000</v>
      </c>
      <c r="O161" s="139">
        <f t="shared" si="4"/>
        <v>0.2666666667</v>
      </c>
      <c r="P161" s="140" t="str">
        <f t="shared" si="5"/>
        <v>Camisa Réplica 1.1 L </v>
      </c>
      <c r="Q161" s="105"/>
      <c r="R161" s="151">
        <f t="shared" si="6"/>
        <v>0</v>
      </c>
      <c r="T161" s="143">
        <f t="shared" si="7"/>
        <v>378000</v>
      </c>
      <c r="W161" s="144"/>
      <c r="X161" s="105">
        <f t="shared" si="8"/>
        <v>216000</v>
      </c>
      <c r="Y161" s="139">
        <f t="shared" si="9"/>
        <v>0.2361111111</v>
      </c>
      <c r="Z161" s="144"/>
      <c r="AA161" s="105">
        <f t="shared" si="10"/>
        <v>420000</v>
      </c>
      <c r="AB161" s="139">
        <f t="shared" si="11"/>
        <v>0.2142857143</v>
      </c>
      <c r="AC161" s="144">
        <f t="shared" si="12"/>
        <v>476000</v>
      </c>
      <c r="AD161" s="105">
        <f t="shared" si="13"/>
        <v>816000</v>
      </c>
      <c r="AE161" s="139">
        <f t="shared" si="14"/>
        <v>0.1911764706</v>
      </c>
    </row>
    <row r="162" ht="14.25" customHeight="1">
      <c r="A162" s="133" t="s">
        <v>387</v>
      </c>
      <c r="B162" s="133" t="s">
        <v>627</v>
      </c>
      <c r="C162" s="133"/>
      <c r="D162" s="133" t="s">
        <v>617</v>
      </c>
      <c r="E162" s="146">
        <v>8.0</v>
      </c>
      <c r="F162" s="135" t="str">
        <f>IF(A162="","",VLOOKUP(A162,'Cotizador Compras'!$A$5:$J$21,2,FALSE))</f>
        <v>BRACOR</v>
      </c>
      <c r="G162" s="136">
        <f>IF(A162="","",VLOOKUP(A162,'Cotizador Compras'!$A$5:$J$21,3,FALSE))</f>
        <v>54000</v>
      </c>
      <c r="H162" s="105">
        <f>IF(OR(A162="",D162=""),"",IF(D162="Sin estampar",0,IF(D162="Pecho",VLOOKUP(A162,'Cotizador Compras'!$A$5:$J$21,4,FALSE),IF(D162="Espalda",VLOOKUP(A162,'Cotizador Compras'!$A$5:$J$21,5,FALSE),VLOOKUP(A162,'Cotizador Compras'!$A$5:$J$21,4,FALSE)+VLOOKUP(A162,'Cotizador Compras'!$A$5:$J$21,5,FALSE)))))</f>
        <v>0</v>
      </c>
      <c r="I162" s="105" t="str">
        <f>IF(A162="","",VLOOKUP(A162,'Cotizador Compras'!$A$5:$J$21,6,FALSE))</f>
        <v/>
      </c>
      <c r="J162" s="105">
        <f>IF(A162="","",VLOOKUP(A162,'Cotizador Compras'!$A$5:$J$21,7,FALSE))</f>
        <v>1000</v>
      </c>
      <c r="K162" s="137">
        <f t="shared" si="1"/>
        <v>440000</v>
      </c>
      <c r="L162" s="105">
        <f>IF(A162="","",IF(D162="Sin estampar",VLOOKUP(A162,'Cotizador Compras'!$A$5:$J$21,8,FALSE),IF(D162="Pecho",VLOOKUP(A162,'Cotizador Compras'!$A$5:$J$21,10,FALSE),VLOOKUP(A162,'Cotizador Compras'!$A$5:$J$21,9,FALSE))))</f>
        <v>75000</v>
      </c>
      <c r="M162" s="138">
        <f t="shared" si="2"/>
        <v>600000</v>
      </c>
      <c r="N162" s="105">
        <f t="shared" si="3"/>
        <v>55000</v>
      </c>
      <c r="O162" s="139">
        <f t="shared" si="4"/>
        <v>0.2666666667</v>
      </c>
      <c r="P162" s="140" t="str">
        <f t="shared" si="5"/>
        <v>Camisa Réplica 1.1 XL </v>
      </c>
      <c r="Q162" s="105"/>
      <c r="R162" s="151">
        <f t="shared" si="6"/>
        <v>0</v>
      </c>
      <c r="T162" s="143">
        <f t="shared" si="7"/>
        <v>432000</v>
      </c>
      <c r="W162" s="144"/>
      <c r="X162" s="105">
        <f t="shared" si="8"/>
        <v>216000</v>
      </c>
      <c r="Y162" s="139">
        <f t="shared" si="9"/>
        <v>0.2361111111</v>
      </c>
      <c r="Z162" s="144"/>
      <c r="AA162" s="105">
        <f t="shared" si="10"/>
        <v>420000</v>
      </c>
      <c r="AB162" s="139">
        <f t="shared" si="11"/>
        <v>0.2142857143</v>
      </c>
      <c r="AC162" s="144">
        <f t="shared" si="12"/>
        <v>544000</v>
      </c>
      <c r="AD162" s="105">
        <f t="shared" si="13"/>
        <v>816000</v>
      </c>
      <c r="AE162" s="139">
        <f t="shared" si="14"/>
        <v>0.1911764706</v>
      </c>
    </row>
    <row r="163" ht="14.25" customHeight="1">
      <c r="A163" s="133"/>
      <c r="B163" s="133"/>
      <c r="C163" s="133"/>
      <c r="D163" s="133"/>
      <c r="E163" s="146"/>
      <c r="F163" s="135" t="str">
        <f>IF(A163="","",VLOOKUP(A163,'Cotizador Compras'!$A$5:$J$21,2,FALSE))</f>
        <v/>
      </c>
      <c r="G163" s="136" t="str">
        <f>IF(A163="","",VLOOKUP(A163,'Cotizador Compras'!$A$5:$J$21,3,FALSE))</f>
        <v/>
      </c>
      <c r="H163" s="105" t="str">
        <f>IF(OR(A163="",D163=""),"",IF(D163="Sin estampar",0,IF(D163="Pecho",VLOOKUP(A163,'Cotizador Compras'!$A$5:$J$21,4,FALSE),IF(D163="Espalda",VLOOKUP(A163,'Cotizador Compras'!$A$5:$J$21,5,FALSE),VLOOKUP(A163,'Cotizador Compras'!$A$5:$J$21,4,FALSE)+VLOOKUP(A163,'Cotizador Compras'!$A$5:$J$21,5,FALSE)))))</f>
        <v/>
      </c>
      <c r="I163" s="105" t="str">
        <f>IF(A163="","",VLOOKUP(A163,'Cotizador Compras'!$A$5:$J$21,6,FALSE))</f>
        <v/>
      </c>
      <c r="J163" s="105" t="str">
        <f>IF(A163="","",VLOOKUP(A163,'Cotizador Compras'!$A$5:$J$21,7,FALSE))</f>
        <v/>
      </c>
      <c r="K163" s="137" t="str">
        <f t="shared" si="1"/>
        <v/>
      </c>
      <c r="L163" s="105" t="str">
        <f>IF(A163="","",IF(D163="Sin estampar",VLOOKUP(A163,'Cotizador Compras'!$A$5:$J$21,8,FALSE),IF(D163="Pecho",VLOOKUP(A163,'Cotizador Compras'!$A$5:$J$21,10,FALSE),VLOOKUP(A163,'Cotizador Compras'!$A$5:$J$21,9,FALSE))))</f>
        <v/>
      </c>
      <c r="M163" s="138" t="str">
        <f t="shared" si="2"/>
        <v/>
      </c>
      <c r="N163" s="105"/>
      <c r="O163" s="139"/>
      <c r="P163" s="140" t="str">
        <f t="shared" si="5"/>
        <v>  </v>
      </c>
      <c r="Q163" s="105"/>
      <c r="R163" s="151">
        <f t="shared" si="6"/>
        <v>0</v>
      </c>
      <c r="S163" s="105"/>
    </row>
    <row r="164" ht="14.25" customHeight="1">
      <c r="P164" s="105"/>
      <c r="Q164" s="105"/>
      <c r="R164" s="105"/>
    </row>
    <row r="165" ht="14.25" customHeight="1">
      <c r="A165" s="152" t="s">
        <v>677</v>
      </c>
      <c r="B165" s="153"/>
      <c r="C165" s="153"/>
      <c r="D165" s="153"/>
      <c r="E165" s="154">
        <f>SUM(E26:E163)</f>
        <v>342</v>
      </c>
      <c r="G165" s="155">
        <f>SUMPRODUCT(G26:G163,E26:E163)</f>
        <v>18132000</v>
      </c>
      <c r="H165" s="155">
        <f>SUMPRODUCT(H26:H163,E26:E163)</f>
        <v>486500</v>
      </c>
      <c r="I165" s="155">
        <f>SUMPRODUCT(I26:I163,E26:E163)</f>
        <v>530400</v>
      </c>
      <c r="J165" s="155">
        <f>SUMPRODUCT(J26:J163,E26:E163)</f>
        <v>342000</v>
      </c>
      <c r="K165" s="155">
        <f>+SUM(K26:K162)</f>
        <v>19490900</v>
      </c>
      <c r="M165" s="155">
        <f>+SUM(M26:M162)</f>
        <v>39855000</v>
      </c>
      <c r="P165" s="105"/>
      <c r="Q165" s="105"/>
      <c r="R165" s="105"/>
    </row>
    <row r="166" ht="14.25" customHeight="1">
      <c r="P166" s="105"/>
      <c r="Q166" s="105"/>
      <c r="R166" s="105"/>
    </row>
    <row r="167" ht="14.25" customHeight="1">
      <c r="M167" s="156">
        <f>+M165-K165</f>
        <v>20364100</v>
      </c>
      <c r="P167" s="105"/>
      <c r="Q167" s="105"/>
      <c r="R167" s="105"/>
    </row>
    <row r="168" ht="14.25" customHeight="1">
      <c r="A168" s="157" t="s">
        <v>678</v>
      </c>
      <c r="P168" s="105"/>
      <c r="Q168" s="105"/>
      <c r="R168" s="105"/>
    </row>
    <row r="169" ht="14.25" customHeight="1">
      <c r="P169" s="105"/>
      <c r="Q169" s="105"/>
      <c r="R169" s="105"/>
    </row>
    <row r="170" ht="14.25" customHeight="1">
      <c r="A170" s="158" t="s">
        <v>679</v>
      </c>
      <c r="B170" s="159">
        <f>E165</f>
        <v>342</v>
      </c>
      <c r="D170" s="160" t="s">
        <v>680</v>
      </c>
      <c r="H170" s="161" t="s">
        <v>681</v>
      </c>
      <c r="I170" s="161" t="s">
        <v>81</v>
      </c>
      <c r="J170" s="161" t="s">
        <v>682</v>
      </c>
      <c r="K170" s="162" t="s">
        <v>683</v>
      </c>
      <c r="P170" s="105"/>
      <c r="Q170" s="105"/>
      <c r="R170" s="105"/>
    </row>
    <row r="171" ht="14.25" customHeight="1">
      <c r="A171" s="158" t="s">
        <v>684</v>
      </c>
      <c r="B171" s="163">
        <f>+E175</f>
        <v>19490900</v>
      </c>
      <c r="D171" s="164" t="s">
        <v>685</v>
      </c>
      <c r="E171" s="165">
        <f>G165</f>
        <v>18132000</v>
      </c>
      <c r="F171" s="139">
        <f t="shared" ref="F171:F174" si="15">+E171/$E$175</f>
        <v>0.9302802846</v>
      </c>
      <c r="H171" s="166" t="s">
        <v>496</v>
      </c>
      <c r="I171" s="167">
        <f t="shared" ref="I171:I173" si="16">+SUMIF($F$26:$F$162,H171,$T$26:$T$162)</f>
        <v>5820000</v>
      </c>
      <c r="J171" s="168" t="s">
        <v>686</v>
      </c>
      <c r="K171" s="78">
        <f t="shared" ref="K171:K174" si="17">I171/3</f>
        <v>1940000</v>
      </c>
      <c r="P171" s="105"/>
      <c r="Q171" s="105"/>
      <c r="R171" s="105"/>
    </row>
    <row r="172" ht="14.25" customHeight="1">
      <c r="A172" s="158" t="s">
        <v>687</v>
      </c>
      <c r="B172" s="169">
        <f>+M165</f>
        <v>39855000</v>
      </c>
      <c r="D172" s="164" t="s">
        <v>688</v>
      </c>
      <c r="E172" s="165">
        <f>H165</f>
        <v>486500</v>
      </c>
      <c r="F172" s="139">
        <f t="shared" si="15"/>
        <v>0.02496036612</v>
      </c>
      <c r="H172" s="166" t="s">
        <v>492</v>
      </c>
      <c r="I172" s="167">
        <f t="shared" si="16"/>
        <v>10644000</v>
      </c>
      <c r="J172" s="168" t="s">
        <v>689</v>
      </c>
      <c r="K172" s="78">
        <f t="shared" si="17"/>
        <v>3548000</v>
      </c>
      <c r="P172" s="105"/>
      <c r="Q172" s="105"/>
      <c r="R172" s="105"/>
    </row>
    <row r="173" ht="14.25" customHeight="1">
      <c r="A173" s="158" t="s">
        <v>690</v>
      </c>
      <c r="B173" s="169">
        <f>+B172-B171</f>
        <v>20364100</v>
      </c>
      <c r="D173" s="164" t="s">
        <v>691</v>
      </c>
      <c r="E173" s="165">
        <f>I165</f>
        <v>530400</v>
      </c>
      <c r="F173" s="139">
        <f t="shared" si="15"/>
        <v>0.02721269926</v>
      </c>
      <c r="H173" s="166" t="s">
        <v>507</v>
      </c>
      <c r="I173" s="167">
        <f t="shared" si="16"/>
        <v>1668000</v>
      </c>
      <c r="J173" s="168" t="s">
        <v>686</v>
      </c>
      <c r="K173" s="78">
        <f t="shared" si="17"/>
        <v>556000</v>
      </c>
      <c r="P173" s="105"/>
      <c r="Q173" s="105"/>
      <c r="R173" s="105"/>
    </row>
    <row r="174" ht="14.25" customHeight="1">
      <c r="A174" s="158" t="s">
        <v>692</v>
      </c>
      <c r="B174" s="170">
        <f>IF(B172&gt;0,(B172-B171)/B172,0)</f>
        <v>0.5109547108</v>
      </c>
      <c r="D174" s="164" t="s">
        <v>693</v>
      </c>
      <c r="E174" s="165">
        <f>J165</f>
        <v>342000</v>
      </c>
      <c r="F174" s="139">
        <f t="shared" si="15"/>
        <v>0.01754664998</v>
      </c>
      <c r="I174" s="171">
        <f>SUM(I171:I173)</f>
        <v>18132000</v>
      </c>
      <c r="K174" s="78">
        <f t="shared" si="17"/>
        <v>6044000</v>
      </c>
      <c r="P174" s="105"/>
      <c r="Q174" s="105"/>
      <c r="R174" s="105"/>
    </row>
    <row r="175" ht="14.25" customHeight="1">
      <c r="D175" s="172" t="s">
        <v>694</v>
      </c>
      <c r="E175" s="163">
        <f>+SUM(E171:E174)</f>
        <v>19490900</v>
      </c>
      <c r="P175" s="105"/>
      <c r="Q175" s="105"/>
      <c r="R175" s="105"/>
    </row>
    <row r="176" ht="14.25" customHeight="1">
      <c r="A176" s="2"/>
      <c r="B176" s="165"/>
      <c r="D176" s="172" t="s">
        <v>695</v>
      </c>
      <c r="E176" s="156">
        <f>+E175-E171</f>
        <v>1358900</v>
      </c>
      <c r="P176" s="105"/>
      <c r="Q176" s="105"/>
      <c r="R176" s="105"/>
    </row>
    <row r="177" ht="14.25" customHeight="1">
      <c r="D177" s="173" t="s">
        <v>696</v>
      </c>
      <c r="E177" s="105">
        <f>E175/3</f>
        <v>6496966.667</v>
      </c>
      <c r="P177" s="105"/>
      <c r="Q177" s="105"/>
      <c r="R177" s="105"/>
    </row>
    <row r="178" ht="14.25" customHeight="1">
      <c r="P178" s="105"/>
      <c r="Q178" s="105"/>
      <c r="R178" s="105"/>
    </row>
    <row r="179" ht="14.25" customHeight="1">
      <c r="A179" s="2"/>
      <c r="P179" s="105"/>
      <c r="Q179" s="105"/>
      <c r="R179" s="105"/>
    </row>
    <row r="180" ht="14.25" customHeight="1">
      <c r="A180" s="174"/>
      <c r="P180" s="105"/>
      <c r="Q180" s="105"/>
      <c r="R180" s="105"/>
    </row>
    <row r="181" ht="14.25" customHeight="1">
      <c r="A181" s="174"/>
      <c r="P181" s="105"/>
      <c r="Q181" s="105"/>
      <c r="R181" s="105"/>
    </row>
    <row r="182" ht="14.25" customHeight="1">
      <c r="A182" s="174"/>
      <c r="P182" s="105"/>
      <c r="Q182" s="105"/>
      <c r="R182" s="105"/>
    </row>
    <row r="183" ht="14.25" customHeight="1">
      <c r="A183" s="174"/>
      <c r="P183" s="105"/>
      <c r="Q183" s="105"/>
      <c r="R183" s="105"/>
    </row>
    <row r="184" ht="14.25" customHeight="1">
      <c r="A184" s="174"/>
      <c r="P184" s="105"/>
      <c r="Q184" s="105"/>
      <c r="R184" s="105"/>
    </row>
    <row r="185" ht="14.25" customHeight="1">
      <c r="A185" s="174"/>
      <c r="P185" s="105"/>
      <c r="Q185" s="105"/>
      <c r="R185" s="105"/>
    </row>
    <row r="186" ht="14.25" customHeight="1">
      <c r="P186" s="105"/>
      <c r="Q186" s="105"/>
      <c r="R186" s="105"/>
    </row>
    <row r="187" ht="14.25" customHeight="1">
      <c r="P187" s="105"/>
      <c r="Q187" s="105"/>
      <c r="R187" s="105"/>
    </row>
    <row r="188" ht="14.25" customHeight="1">
      <c r="P188" s="105"/>
      <c r="Q188" s="105"/>
      <c r="R188" s="105"/>
    </row>
    <row r="189" ht="14.25" customHeight="1">
      <c r="P189" s="105"/>
      <c r="Q189" s="105"/>
      <c r="R189" s="105"/>
    </row>
    <row r="190" ht="14.25" customHeight="1">
      <c r="P190" s="105"/>
      <c r="Q190" s="105"/>
      <c r="R190" s="105"/>
    </row>
    <row r="191" ht="14.25" customHeight="1">
      <c r="P191" s="105"/>
      <c r="Q191" s="105"/>
      <c r="R191" s="105"/>
    </row>
    <row r="192" ht="14.25" customHeight="1">
      <c r="P192" s="105"/>
      <c r="Q192" s="105"/>
      <c r="R192" s="105"/>
    </row>
    <row r="193" ht="14.25" customHeight="1">
      <c r="P193" s="105"/>
      <c r="Q193" s="105"/>
      <c r="R193" s="105"/>
    </row>
    <row r="194" ht="14.25" customHeight="1">
      <c r="P194" s="105"/>
      <c r="Q194" s="105"/>
      <c r="R194" s="105"/>
    </row>
    <row r="195" ht="14.25" customHeight="1">
      <c r="P195" s="105"/>
      <c r="Q195" s="105"/>
      <c r="R195" s="105"/>
    </row>
    <row r="196" ht="14.25" customHeight="1">
      <c r="P196" s="105"/>
      <c r="Q196" s="105"/>
      <c r="R196" s="105"/>
    </row>
    <row r="197" ht="14.25" customHeight="1">
      <c r="P197" s="105"/>
      <c r="Q197" s="105"/>
      <c r="R197" s="105"/>
    </row>
    <row r="198" ht="14.25" customHeight="1">
      <c r="P198" s="105"/>
      <c r="Q198" s="105"/>
      <c r="R198" s="105"/>
    </row>
    <row r="199" ht="14.25" customHeight="1">
      <c r="P199" s="105"/>
      <c r="Q199" s="105"/>
      <c r="R199" s="105"/>
    </row>
    <row r="200" ht="14.25" customHeight="1">
      <c r="P200" s="105"/>
      <c r="Q200" s="105"/>
      <c r="R200" s="105"/>
    </row>
    <row r="201" ht="14.25" customHeight="1">
      <c r="P201" s="105"/>
      <c r="Q201" s="105"/>
      <c r="R201" s="105"/>
    </row>
    <row r="202" ht="14.25" customHeight="1">
      <c r="P202" s="105"/>
      <c r="Q202" s="105"/>
      <c r="R202" s="105"/>
    </row>
    <row r="203" ht="14.25" customHeight="1">
      <c r="P203" s="105"/>
      <c r="Q203" s="105"/>
      <c r="R203" s="105"/>
    </row>
    <row r="204" ht="14.25" customHeight="1">
      <c r="P204" s="105"/>
      <c r="Q204" s="105"/>
      <c r="R204" s="105"/>
    </row>
    <row r="205" ht="14.25" customHeight="1">
      <c r="P205" s="105"/>
      <c r="Q205" s="105"/>
      <c r="R205" s="105"/>
    </row>
    <row r="206" ht="14.25" customHeight="1">
      <c r="P206" s="105"/>
      <c r="Q206" s="105"/>
      <c r="R206" s="105"/>
    </row>
    <row r="207" ht="14.25" customHeight="1">
      <c r="P207" s="105"/>
      <c r="Q207" s="105"/>
      <c r="R207" s="105"/>
    </row>
    <row r="208" ht="14.25" customHeight="1">
      <c r="P208" s="105"/>
      <c r="Q208" s="105"/>
      <c r="R208" s="105"/>
    </row>
    <row r="209" ht="14.25" customHeight="1">
      <c r="P209" s="105"/>
      <c r="Q209" s="105"/>
      <c r="R209" s="105"/>
    </row>
    <row r="210" ht="14.25" customHeight="1">
      <c r="P210" s="105"/>
      <c r="Q210" s="105"/>
      <c r="R210" s="105"/>
    </row>
    <row r="211" ht="14.25" customHeight="1">
      <c r="P211" s="105"/>
      <c r="Q211" s="105"/>
      <c r="R211" s="105"/>
    </row>
    <row r="212" ht="14.25" customHeight="1">
      <c r="P212" s="105"/>
      <c r="Q212" s="105"/>
      <c r="R212" s="105"/>
    </row>
    <row r="213" ht="14.25" customHeight="1">
      <c r="P213" s="105"/>
      <c r="Q213" s="105"/>
      <c r="R213" s="105"/>
    </row>
    <row r="214" ht="14.25" customHeight="1">
      <c r="P214" s="105"/>
      <c r="Q214" s="105"/>
      <c r="R214" s="105"/>
    </row>
    <row r="215" ht="14.25" customHeight="1">
      <c r="P215" s="105"/>
      <c r="Q215" s="105"/>
      <c r="R215" s="105"/>
    </row>
    <row r="216" ht="14.25" customHeight="1">
      <c r="P216" s="105"/>
      <c r="Q216" s="105"/>
      <c r="R216" s="105"/>
    </row>
    <row r="217" ht="14.25" customHeight="1">
      <c r="P217" s="105"/>
      <c r="Q217" s="105"/>
      <c r="R217" s="105"/>
    </row>
    <row r="218" ht="14.25" customHeight="1">
      <c r="P218" s="105"/>
      <c r="Q218" s="105"/>
      <c r="R218" s="105"/>
    </row>
    <row r="219" ht="14.25" customHeight="1">
      <c r="P219" s="105"/>
      <c r="Q219" s="105"/>
      <c r="R219" s="105"/>
    </row>
    <row r="220" ht="14.25" customHeight="1">
      <c r="P220" s="105"/>
      <c r="Q220" s="105"/>
      <c r="R220" s="105"/>
    </row>
    <row r="221" ht="14.25" customHeight="1">
      <c r="P221" s="105"/>
      <c r="Q221" s="105"/>
      <c r="R221" s="105"/>
    </row>
    <row r="222" ht="14.25" customHeight="1">
      <c r="P222" s="105"/>
      <c r="Q222" s="105"/>
      <c r="R222" s="105"/>
    </row>
    <row r="223" ht="14.25" customHeight="1">
      <c r="P223" s="105"/>
      <c r="Q223" s="105"/>
      <c r="R223" s="105"/>
    </row>
    <row r="224" ht="14.25" customHeight="1">
      <c r="P224" s="105"/>
      <c r="Q224" s="105"/>
      <c r="R224" s="105"/>
    </row>
    <row r="225" ht="14.25" customHeight="1">
      <c r="P225" s="105"/>
      <c r="Q225" s="105"/>
      <c r="R225" s="105"/>
    </row>
    <row r="226" ht="14.25" customHeight="1">
      <c r="P226" s="105"/>
      <c r="Q226" s="105"/>
      <c r="R226" s="105"/>
    </row>
    <row r="227" ht="14.25" customHeight="1">
      <c r="P227" s="105"/>
      <c r="Q227" s="105"/>
      <c r="R227" s="105"/>
    </row>
    <row r="228" ht="14.25" customHeight="1">
      <c r="P228" s="105"/>
      <c r="Q228" s="105"/>
      <c r="R228" s="105"/>
    </row>
    <row r="229" ht="14.25" customHeight="1">
      <c r="P229" s="105"/>
      <c r="Q229" s="105"/>
      <c r="R229" s="105"/>
    </row>
    <row r="230" ht="14.25" customHeight="1">
      <c r="P230" s="105"/>
      <c r="Q230" s="105"/>
      <c r="R230" s="105"/>
    </row>
    <row r="231" ht="14.25" customHeight="1">
      <c r="P231" s="105"/>
      <c r="Q231" s="105"/>
      <c r="R231" s="105"/>
    </row>
    <row r="232" ht="14.25" customHeight="1">
      <c r="P232" s="105"/>
      <c r="Q232" s="105"/>
      <c r="R232" s="105"/>
    </row>
    <row r="233" ht="14.25" customHeight="1">
      <c r="P233" s="105"/>
      <c r="Q233" s="105"/>
      <c r="R233" s="105"/>
    </row>
    <row r="234" ht="14.25" customHeight="1">
      <c r="P234" s="105"/>
      <c r="Q234" s="105"/>
      <c r="R234" s="105"/>
    </row>
    <row r="235" ht="14.25" customHeight="1">
      <c r="P235" s="105"/>
      <c r="Q235" s="105"/>
      <c r="R235" s="105"/>
    </row>
    <row r="236" ht="14.25" customHeight="1">
      <c r="P236" s="105"/>
      <c r="Q236" s="105"/>
      <c r="R236" s="105"/>
    </row>
    <row r="237" ht="14.25" customHeight="1">
      <c r="P237" s="105"/>
      <c r="Q237" s="105"/>
      <c r="R237" s="105"/>
    </row>
    <row r="238" ht="14.25" customHeight="1">
      <c r="P238" s="105"/>
      <c r="Q238" s="105"/>
      <c r="R238" s="105"/>
    </row>
    <row r="239" ht="14.25" customHeight="1">
      <c r="P239" s="105"/>
      <c r="Q239" s="105"/>
      <c r="R239" s="105"/>
    </row>
    <row r="240" ht="14.25" customHeight="1">
      <c r="P240" s="105"/>
      <c r="Q240" s="105"/>
      <c r="R240" s="105"/>
    </row>
    <row r="241" ht="14.25" customHeight="1">
      <c r="P241" s="105"/>
      <c r="Q241" s="105"/>
      <c r="R241" s="105"/>
    </row>
    <row r="242" ht="14.25" customHeight="1">
      <c r="P242" s="105"/>
      <c r="Q242" s="105"/>
      <c r="R242" s="105"/>
    </row>
    <row r="243" ht="14.25" customHeight="1">
      <c r="P243" s="105"/>
      <c r="Q243" s="105"/>
      <c r="R243" s="105"/>
    </row>
    <row r="244" ht="14.25" customHeight="1">
      <c r="P244" s="105"/>
      <c r="Q244" s="105"/>
      <c r="R244" s="105"/>
    </row>
    <row r="245" ht="14.25" customHeight="1">
      <c r="P245" s="105"/>
      <c r="Q245" s="105"/>
      <c r="R245" s="105"/>
    </row>
    <row r="246" ht="14.25" customHeight="1">
      <c r="P246" s="105"/>
      <c r="Q246" s="105"/>
      <c r="R246" s="105"/>
    </row>
    <row r="247" ht="14.25" customHeight="1">
      <c r="P247" s="105"/>
      <c r="Q247" s="105"/>
      <c r="R247" s="105"/>
    </row>
    <row r="248" ht="14.25" customHeight="1">
      <c r="P248" s="105"/>
      <c r="Q248" s="105"/>
      <c r="R248" s="105"/>
    </row>
    <row r="249" ht="14.25" customHeight="1">
      <c r="P249" s="105"/>
      <c r="Q249" s="105"/>
      <c r="R249" s="105"/>
    </row>
    <row r="250" ht="14.25" customHeight="1">
      <c r="P250" s="105"/>
      <c r="Q250" s="105"/>
      <c r="R250" s="105"/>
    </row>
    <row r="251" ht="14.25" customHeight="1">
      <c r="P251" s="105"/>
      <c r="Q251" s="105"/>
      <c r="R251" s="105"/>
    </row>
    <row r="252" ht="14.25" customHeight="1">
      <c r="P252" s="105"/>
      <c r="Q252" s="105"/>
      <c r="R252" s="105"/>
    </row>
    <row r="253" ht="14.25" customHeight="1">
      <c r="P253" s="105"/>
      <c r="Q253" s="105"/>
      <c r="R253" s="105"/>
    </row>
    <row r="254" ht="14.25" customHeight="1">
      <c r="P254" s="105"/>
      <c r="Q254" s="105"/>
      <c r="R254" s="105"/>
    </row>
    <row r="255" ht="14.25" customHeight="1">
      <c r="P255" s="105"/>
      <c r="Q255" s="105"/>
      <c r="R255" s="105"/>
    </row>
    <row r="256" ht="14.25" customHeight="1">
      <c r="P256" s="105"/>
      <c r="Q256" s="105"/>
      <c r="R256" s="105"/>
    </row>
    <row r="257" ht="14.25" customHeight="1">
      <c r="P257" s="105"/>
      <c r="Q257" s="105"/>
      <c r="R257" s="105"/>
    </row>
    <row r="258" ht="14.25" customHeight="1">
      <c r="P258" s="105"/>
      <c r="Q258" s="105"/>
      <c r="R258" s="105"/>
    </row>
    <row r="259" ht="14.25" customHeight="1">
      <c r="P259" s="105"/>
      <c r="Q259" s="105"/>
      <c r="R259" s="105"/>
    </row>
    <row r="260" ht="14.25" customHeight="1">
      <c r="P260" s="105"/>
      <c r="Q260" s="105"/>
      <c r="R260" s="105"/>
    </row>
    <row r="261" ht="14.25" customHeight="1">
      <c r="P261" s="105"/>
      <c r="Q261" s="105"/>
      <c r="R261" s="105"/>
    </row>
    <row r="262" ht="14.25" customHeight="1">
      <c r="P262" s="105"/>
      <c r="Q262" s="105"/>
      <c r="R262" s="105"/>
    </row>
    <row r="263" ht="14.25" customHeight="1">
      <c r="P263" s="105"/>
      <c r="Q263" s="105"/>
      <c r="R263" s="105"/>
    </row>
    <row r="264" ht="14.25" customHeight="1">
      <c r="P264" s="105"/>
      <c r="Q264" s="105"/>
      <c r="R264" s="105"/>
    </row>
    <row r="265" ht="14.25" customHeight="1">
      <c r="P265" s="105"/>
      <c r="Q265" s="105"/>
      <c r="R265" s="105"/>
    </row>
    <row r="266" ht="14.25" customHeight="1">
      <c r="P266" s="105"/>
      <c r="Q266" s="105"/>
      <c r="R266" s="105"/>
    </row>
    <row r="267" ht="14.25" customHeight="1">
      <c r="P267" s="105"/>
      <c r="Q267" s="105"/>
      <c r="R267" s="105"/>
    </row>
    <row r="268" ht="14.25" customHeight="1">
      <c r="P268" s="105"/>
      <c r="Q268" s="105"/>
      <c r="R268" s="105"/>
    </row>
    <row r="269" ht="14.25" customHeight="1">
      <c r="P269" s="105"/>
      <c r="Q269" s="105"/>
      <c r="R269" s="105"/>
    </row>
    <row r="270" ht="14.25" customHeight="1">
      <c r="P270" s="105"/>
      <c r="Q270" s="105"/>
      <c r="R270" s="105"/>
    </row>
    <row r="271" ht="14.25" customHeight="1">
      <c r="P271" s="105"/>
      <c r="Q271" s="105"/>
      <c r="R271" s="105"/>
    </row>
    <row r="272" ht="14.25" customHeight="1">
      <c r="P272" s="105"/>
      <c r="Q272" s="105"/>
      <c r="R272" s="105"/>
    </row>
    <row r="273" ht="14.25" customHeight="1">
      <c r="P273" s="105"/>
      <c r="Q273" s="105"/>
      <c r="R273" s="105"/>
    </row>
    <row r="274" ht="14.25" customHeight="1">
      <c r="P274" s="105"/>
      <c r="Q274" s="105"/>
      <c r="R274" s="105"/>
    </row>
    <row r="275" ht="14.25" customHeight="1">
      <c r="P275" s="105"/>
      <c r="Q275" s="105"/>
      <c r="R275" s="105"/>
    </row>
    <row r="276" ht="14.25" customHeight="1">
      <c r="P276" s="105"/>
      <c r="Q276" s="105"/>
      <c r="R276" s="105"/>
    </row>
    <row r="277" ht="14.25" customHeight="1">
      <c r="P277" s="105"/>
      <c r="Q277" s="105"/>
      <c r="R277" s="105"/>
    </row>
    <row r="278" ht="14.25" customHeight="1">
      <c r="P278" s="105"/>
      <c r="Q278" s="105"/>
      <c r="R278" s="105"/>
    </row>
    <row r="279" ht="14.25" customHeight="1">
      <c r="P279" s="105"/>
      <c r="Q279" s="105"/>
      <c r="R279" s="105"/>
    </row>
    <row r="280" ht="14.25" customHeight="1">
      <c r="P280" s="105"/>
      <c r="Q280" s="105"/>
      <c r="R280" s="105"/>
    </row>
    <row r="281" ht="14.25" customHeight="1">
      <c r="P281" s="105"/>
      <c r="Q281" s="105"/>
      <c r="R281" s="105"/>
    </row>
    <row r="282" ht="14.25" customHeight="1">
      <c r="P282" s="105"/>
      <c r="Q282" s="105"/>
      <c r="R282" s="105"/>
    </row>
    <row r="283" ht="14.25" customHeight="1">
      <c r="P283" s="105"/>
      <c r="Q283" s="105"/>
      <c r="R283" s="105"/>
    </row>
    <row r="284" ht="14.25" customHeight="1">
      <c r="P284" s="105"/>
      <c r="Q284" s="105"/>
      <c r="R284" s="105"/>
    </row>
    <row r="285" ht="14.25" customHeight="1">
      <c r="P285" s="105"/>
      <c r="Q285" s="105"/>
      <c r="R285" s="105"/>
    </row>
    <row r="286" ht="14.25" customHeight="1">
      <c r="P286" s="105"/>
      <c r="Q286" s="105"/>
      <c r="R286" s="105"/>
    </row>
    <row r="287" ht="14.25" customHeight="1">
      <c r="P287" s="105"/>
      <c r="Q287" s="105"/>
      <c r="R287" s="105"/>
    </row>
    <row r="288" ht="14.25" customHeight="1">
      <c r="P288" s="105"/>
      <c r="Q288" s="105"/>
      <c r="R288" s="105"/>
    </row>
    <row r="289" ht="14.25" customHeight="1">
      <c r="P289" s="105"/>
      <c r="Q289" s="105"/>
      <c r="R289" s="105"/>
    </row>
    <row r="290" ht="14.25" customHeight="1">
      <c r="P290" s="105"/>
      <c r="Q290" s="105"/>
      <c r="R290" s="105"/>
    </row>
    <row r="291" ht="14.25" customHeight="1">
      <c r="P291" s="105"/>
      <c r="Q291" s="105"/>
      <c r="R291" s="105"/>
    </row>
    <row r="292" ht="14.25" customHeight="1">
      <c r="P292" s="105"/>
      <c r="Q292" s="105"/>
      <c r="R292" s="105"/>
    </row>
    <row r="293" ht="14.25" customHeight="1">
      <c r="P293" s="105"/>
      <c r="Q293" s="105"/>
      <c r="R293" s="105"/>
    </row>
    <row r="294" ht="14.25" customHeight="1">
      <c r="P294" s="105"/>
      <c r="Q294" s="105"/>
      <c r="R294" s="105"/>
    </row>
    <row r="295" ht="14.25" customHeight="1">
      <c r="P295" s="105"/>
      <c r="Q295" s="105"/>
      <c r="R295" s="105"/>
    </row>
    <row r="296" ht="14.25" customHeight="1">
      <c r="P296" s="105"/>
      <c r="Q296" s="105"/>
      <c r="R296" s="105"/>
    </row>
    <row r="297" ht="14.25" customHeight="1">
      <c r="P297" s="105"/>
      <c r="Q297" s="105"/>
      <c r="R297" s="105"/>
    </row>
    <row r="298" ht="14.25" customHeight="1">
      <c r="P298" s="105"/>
      <c r="Q298" s="105"/>
      <c r="R298" s="105"/>
    </row>
    <row r="299" ht="14.25" customHeight="1">
      <c r="P299" s="105"/>
      <c r="Q299" s="105"/>
      <c r="R299" s="105"/>
    </row>
    <row r="300" ht="14.25" customHeight="1">
      <c r="P300" s="105"/>
      <c r="Q300" s="105"/>
      <c r="R300" s="105"/>
    </row>
    <row r="301" ht="14.25" customHeight="1">
      <c r="P301" s="105"/>
      <c r="Q301" s="105"/>
      <c r="R301" s="105"/>
    </row>
    <row r="302" ht="14.25" customHeight="1">
      <c r="P302" s="105"/>
      <c r="Q302" s="105"/>
      <c r="R302" s="105"/>
    </row>
    <row r="303" ht="14.25" customHeight="1">
      <c r="P303" s="105"/>
      <c r="Q303" s="105"/>
      <c r="R303" s="105"/>
    </row>
    <row r="304" ht="14.25" customHeight="1">
      <c r="P304" s="105"/>
      <c r="Q304" s="105"/>
      <c r="R304" s="105"/>
    </row>
    <row r="305" ht="14.25" customHeight="1">
      <c r="P305" s="105"/>
      <c r="Q305" s="105"/>
      <c r="R305" s="105"/>
    </row>
    <row r="306" ht="14.25" customHeight="1">
      <c r="P306" s="105"/>
      <c r="Q306" s="105"/>
      <c r="R306" s="105"/>
    </row>
    <row r="307" ht="14.25" customHeight="1">
      <c r="P307" s="105"/>
      <c r="Q307" s="105"/>
      <c r="R307" s="105"/>
    </row>
    <row r="308" ht="14.25" customHeight="1">
      <c r="P308" s="105"/>
      <c r="Q308" s="105"/>
      <c r="R308" s="105"/>
    </row>
    <row r="309" ht="14.25" customHeight="1">
      <c r="P309" s="105"/>
      <c r="Q309" s="105"/>
      <c r="R309" s="105"/>
    </row>
    <row r="310" ht="14.25" customHeight="1">
      <c r="P310" s="105"/>
      <c r="Q310" s="105"/>
      <c r="R310" s="105"/>
    </row>
    <row r="311" ht="14.25" customHeight="1">
      <c r="P311" s="105"/>
      <c r="Q311" s="105"/>
      <c r="R311" s="105"/>
    </row>
    <row r="312" ht="14.25" customHeight="1">
      <c r="P312" s="105"/>
      <c r="Q312" s="105"/>
      <c r="R312" s="105"/>
    </row>
    <row r="313" ht="14.25" customHeight="1">
      <c r="P313" s="105"/>
      <c r="Q313" s="105"/>
      <c r="R313" s="105"/>
    </row>
    <row r="314" ht="14.25" customHeight="1">
      <c r="P314" s="105"/>
      <c r="Q314" s="105"/>
      <c r="R314" s="105"/>
    </row>
    <row r="315" ht="14.25" customHeight="1">
      <c r="P315" s="105"/>
      <c r="Q315" s="105"/>
      <c r="R315" s="105"/>
    </row>
    <row r="316" ht="14.25" customHeight="1">
      <c r="P316" s="105"/>
      <c r="Q316" s="105"/>
      <c r="R316" s="105"/>
    </row>
    <row r="317" ht="14.25" customHeight="1">
      <c r="P317" s="105"/>
      <c r="Q317" s="105"/>
      <c r="R317" s="105"/>
    </row>
    <row r="318" ht="14.25" customHeight="1">
      <c r="P318" s="105"/>
      <c r="Q318" s="105"/>
      <c r="R318" s="105"/>
    </row>
    <row r="319" ht="14.25" customHeight="1">
      <c r="P319" s="105"/>
      <c r="Q319" s="105"/>
      <c r="R319" s="105"/>
    </row>
    <row r="320" ht="14.25" customHeight="1">
      <c r="P320" s="105"/>
      <c r="Q320" s="105"/>
      <c r="R320" s="105"/>
    </row>
    <row r="321" ht="14.25" customHeight="1">
      <c r="P321" s="105"/>
      <c r="Q321" s="105"/>
      <c r="R321" s="105"/>
    </row>
    <row r="322" ht="14.25" customHeight="1">
      <c r="P322" s="105"/>
      <c r="Q322" s="105"/>
      <c r="R322" s="105"/>
    </row>
    <row r="323" ht="14.25" customHeight="1">
      <c r="P323" s="105"/>
      <c r="Q323" s="105"/>
      <c r="R323" s="105"/>
    </row>
    <row r="324" ht="14.25" customHeight="1">
      <c r="P324" s="105"/>
      <c r="Q324" s="105"/>
      <c r="R324" s="105"/>
    </row>
    <row r="325" ht="14.25" customHeight="1">
      <c r="P325" s="105"/>
      <c r="Q325" s="105"/>
      <c r="R325" s="105"/>
    </row>
    <row r="326" ht="14.25" customHeight="1">
      <c r="P326" s="105"/>
      <c r="Q326" s="105"/>
      <c r="R326" s="105"/>
    </row>
    <row r="327" ht="14.25" customHeight="1">
      <c r="P327" s="105"/>
      <c r="Q327" s="105"/>
      <c r="R327" s="105"/>
    </row>
    <row r="328" ht="14.25" customHeight="1">
      <c r="P328" s="105"/>
      <c r="Q328" s="105"/>
      <c r="R328" s="105"/>
    </row>
    <row r="329" ht="14.25" customHeight="1">
      <c r="P329" s="105"/>
      <c r="Q329" s="105"/>
      <c r="R329" s="105"/>
    </row>
    <row r="330" ht="14.25" customHeight="1">
      <c r="P330" s="105"/>
      <c r="Q330" s="105"/>
      <c r="R330" s="105"/>
    </row>
    <row r="331" ht="14.25" customHeight="1">
      <c r="P331" s="105"/>
      <c r="Q331" s="105"/>
      <c r="R331" s="105"/>
    </row>
    <row r="332" ht="14.25" customHeight="1">
      <c r="P332" s="105"/>
      <c r="Q332" s="105"/>
      <c r="R332" s="105"/>
    </row>
    <row r="333" ht="14.25" customHeight="1">
      <c r="P333" s="105"/>
      <c r="Q333" s="105"/>
      <c r="R333" s="105"/>
    </row>
    <row r="334" ht="14.25" customHeight="1">
      <c r="P334" s="105"/>
      <c r="Q334" s="105"/>
      <c r="R334" s="105"/>
    </row>
    <row r="335" ht="14.25" customHeight="1">
      <c r="P335" s="105"/>
      <c r="Q335" s="105"/>
      <c r="R335" s="105"/>
    </row>
    <row r="336" ht="14.25" customHeight="1">
      <c r="P336" s="105"/>
      <c r="Q336" s="105"/>
      <c r="R336" s="105"/>
    </row>
    <row r="337" ht="14.25" customHeight="1">
      <c r="P337" s="105"/>
      <c r="Q337" s="105"/>
      <c r="R337" s="105"/>
    </row>
    <row r="338" ht="14.25" customHeight="1">
      <c r="P338" s="105"/>
      <c r="Q338" s="105"/>
      <c r="R338" s="105"/>
    </row>
    <row r="339" ht="14.25" customHeight="1">
      <c r="P339" s="105"/>
      <c r="Q339" s="105"/>
      <c r="R339" s="105"/>
    </row>
    <row r="340" ht="14.25" customHeight="1">
      <c r="P340" s="105"/>
      <c r="Q340" s="105"/>
      <c r="R340" s="105"/>
    </row>
    <row r="341" ht="14.25" customHeight="1">
      <c r="P341" s="105"/>
      <c r="Q341" s="105"/>
      <c r="R341" s="105"/>
    </row>
    <row r="342" ht="14.25" customHeight="1">
      <c r="P342" s="105"/>
      <c r="Q342" s="105"/>
      <c r="R342" s="105"/>
    </row>
    <row r="343" ht="14.25" customHeight="1">
      <c r="P343" s="105"/>
      <c r="Q343" s="105"/>
      <c r="R343" s="105"/>
    </row>
    <row r="344" ht="14.25" customHeight="1">
      <c r="P344" s="105"/>
      <c r="Q344" s="105"/>
      <c r="R344" s="105"/>
    </row>
    <row r="345" ht="14.25" customHeight="1">
      <c r="P345" s="105"/>
      <c r="Q345" s="105"/>
      <c r="R345" s="105"/>
    </row>
    <row r="346" ht="14.25" customHeight="1">
      <c r="P346" s="105"/>
      <c r="Q346" s="105"/>
      <c r="R346" s="105"/>
    </row>
    <row r="347" ht="14.25" customHeight="1">
      <c r="P347" s="105"/>
      <c r="Q347" s="105"/>
      <c r="R347" s="105"/>
    </row>
    <row r="348" ht="14.25" customHeight="1">
      <c r="P348" s="105"/>
      <c r="Q348" s="105"/>
      <c r="R348" s="105"/>
    </row>
    <row r="349" ht="14.25" customHeight="1">
      <c r="P349" s="105"/>
      <c r="Q349" s="105"/>
      <c r="R349" s="105"/>
    </row>
    <row r="350" ht="14.25" customHeight="1">
      <c r="P350" s="105"/>
      <c r="Q350" s="105"/>
      <c r="R350" s="105"/>
    </row>
    <row r="351" ht="14.25" customHeight="1">
      <c r="P351" s="105"/>
      <c r="Q351" s="105"/>
      <c r="R351" s="105"/>
    </row>
    <row r="352" ht="14.25" customHeight="1">
      <c r="P352" s="105"/>
      <c r="Q352" s="105"/>
      <c r="R352" s="105"/>
    </row>
    <row r="353" ht="14.25" customHeight="1">
      <c r="P353" s="105"/>
      <c r="Q353" s="105"/>
      <c r="R353" s="105"/>
    </row>
    <row r="354" ht="14.25" customHeight="1">
      <c r="P354" s="105"/>
      <c r="Q354" s="105"/>
      <c r="R354" s="105"/>
    </row>
    <row r="355" ht="14.25" customHeight="1">
      <c r="P355" s="105"/>
      <c r="Q355" s="105"/>
      <c r="R355" s="105"/>
    </row>
    <row r="356" ht="14.25" customHeight="1">
      <c r="P356" s="105"/>
      <c r="Q356" s="105"/>
      <c r="R356" s="105"/>
    </row>
    <row r="357" ht="14.25" customHeight="1">
      <c r="P357" s="105"/>
      <c r="Q357" s="105"/>
      <c r="R357" s="105"/>
    </row>
    <row r="358" ht="14.25" customHeight="1">
      <c r="P358" s="105"/>
      <c r="Q358" s="105"/>
      <c r="R358" s="105"/>
    </row>
    <row r="359" ht="14.25" customHeight="1">
      <c r="P359" s="105"/>
      <c r="Q359" s="105"/>
      <c r="R359" s="105"/>
    </row>
    <row r="360" ht="14.25" customHeight="1">
      <c r="P360" s="105"/>
      <c r="Q360" s="105"/>
      <c r="R360" s="105"/>
    </row>
    <row r="361" ht="14.25" customHeight="1">
      <c r="P361" s="105"/>
      <c r="Q361" s="105"/>
      <c r="R361" s="105"/>
    </row>
    <row r="362" ht="14.25" customHeight="1">
      <c r="P362" s="105"/>
      <c r="Q362" s="105"/>
      <c r="R362" s="105"/>
    </row>
    <row r="363" ht="14.25" customHeight="1">
      <c r="P363" s="105"/>
      <c r="Q363" s="105"/>
      <c r="R363" s="105"/>
    </row>
    <row r="364" ht="14.25" customHeight="1">
      <c r="P364" s="105"/>
      <c r="Q364" s="105"/>
      <c r="R364" s="105"/>
    </row>
    <row r="365" ht="14.25" customHeight="1">
      <c r="P365" s="105"/>
      <c r="Q365" s="105"/>
      <c r="R365" s="105"/>
    </row>
    <row r="366" ht="14.25" customHeight="1">
      <c r="P366" s="105"/>
      <c r="Q366" s="105"/>
      <c r="R366" s="105"/>
    </row>
    <row r="367" ht="14.25" customHeight="1">
      <c r="P367" s="105"/>
      <c r="Q367" s="105"/>
      <c r="R367" s="105"/>
    </row>
    <row r="368" ht="14.25" customHeight="1">
      <c r="P368" s="105"/>
      <c r="Q368" s="105"/>
      <c r="R368" s="105"/>
    </row>
    <row r="369" ht="14.25" customHeight="1">
      <c r="P369" s="105"/>
      <c r="Q369" s="105"/>
      <c r="R369" s="105"/>
    </row>
    <row r="370" ht="14.25" customHeight="1">
      <c r="P370" s="105"/>
      <c r="Q370" s="105"/>
      <c r="R370" s="105"/>
    </row>
    <row r="371" ht="14.25" customHeight="1">
      <c r="P371" s="105"/>
      <c r="Q371" s="105"/>
      <c r="R371" s="105"/>
    </row>
    <row r="372" ht="14.25" customHeight="1">
      <c r="P372" s="105"/>
      <c r="Q372" s="105"/>
      <c r="R372" s="105"/>
    </row>
    <row r="373" ht="14.25" customHeight="1">
      <c r="P373" s="105"/>
      <c r="Q373" s="105"/>
      <c r="R373" s="105"/>
    </row>
    <row r="374" ht="14.25" customHeight="1">
      <c r="P374" s="105"/>
      <c r="Q374" s="105"/>
      <c r="R374" s="105"/>
    </row>
    <row r="375" ht="14.25" customHeight="1">
      <c r="P375" s="105"/>
      <c r="Q375" s="105"/>
      <c r="R375" s="105"/>
    </row>
    <row r="376" ht="14.25" customHeight="1">
      <c r="P376" s="105"/>
      <c r="Q376" s="105"/>
      <c r="R376" s="105"/>
    </row>
    <row r="377" ht="14.25" customHeight="1">
      <c r="P377" s="105"/>
      <c r="Q377" s="105"/>
      <c r="R377" s="105"/>
    </row>
    <row r="378" ht="14.25" customHeight="1">
      <c r="P378" s="105"/>
      <c r="Q378" s="105"/>
      <c r="R378" s="105"/>
    </row>
    <row r="379" ht="14.25" customHeight="1">
      <c r="P379" s="105"/>
      <c r="Q379" s="105"/>
      <c r="R379" s="105"/>
    </row>
    <row r="380" ht="14.25" customHeight="1">
      <c r="P380" s="105"/>
      <c r="Q380" s="105"/>
      <c r="R380" s="105"/>
    </row>
    <row r="381" ht="14.25" customHeight="1">
      <c r="P381" s="105"/>
      <c r="Q381" s="105"/>
      <c r="R381" s="105"/>
    </row>
    <row r="382" ht="14.25" customHeight="1">
      <c r="P382" s="105"/>
      <c r="Q382" s="105"/>
      <c r="R382" s="105"/>
    </row>
    <row r="383" ht="14.25" customHeight="1">
      <c r="P383" s="105"/>
      <c r="Q383" s="105"/>
      <c r="R383" s="105"/>
    </row>
    <row r="384" ht="14.25" customHeight="1">
      <c r="P384" s="105"/>
      <c r="Q384" s="105"/>
      <c r="R384" s="105"/>
    </row>
    <row r="385" ht="14.25" customHeight="1">
      <c r="P385" s="105"/>
      <c r="Q385" s="105"/>
      <c r="R385" s="105"/>
    </row>
    <row r="386" ht="14.25" customHeight="1">
      <c r="P386" s="105"/>
      <c r="Q386" s="105"/>
      <c r="R386" s="105"/>
    </row>
    <row r="387" ht="14.25" customHeight="1">
      <c r="P387" s="105"/>
      <c r="Q387" s="105"/>
      <c r="R387" s="105"/>
    </row>
    <row r="388" ht="14.25" customHeight="1">
      <c r="P388" s="105"/>
      <c r="Q388" s="105"/>
      <c r="R388" s="105"/>
    </row>
    <row r="389" ht="14.25" customHeight="1">
      <c r="P389" s="105"/>
      <c r="Q389" s="105"/>
      <c r="R389" s="105"/>
    </row>
    <row r="390" ht="14.25" customHeight="1">
      <c r="P390" s="105"/>
      <c r="Q390" s="105"/>
      <c r="R390" s="105"/>
    </row>
    <row r="391" ht="14.25" customHeight="1">
      <c r="P391" s="105"/>
      <c r="Q391" s="105"/>
      <c r="R391" s="105"/>
    </row>
    <row r="392" ht="14.25" customHeight="1">
      <c r="P392" s="105"/>
      <c r="Q392" s="105"/>
      <c r="R392" s="105"/>
    </row>
    <row r="393" ht="14.25" customHeight="1">
      <c r="P393" s="105"/>
      <c r="Q393" s="105"/>
      <c r="R393" s="105"/>
    </row>
    <row r="394" ht="14.25" customHeight="1">
      <c r="P394" s="105"/>
      <c r="Q394" s="105"/>
      <c r="R394" s="105"/>
    </row>
    <row r="395" ht="14.25" customHeight="1">
      <c r="P395" s="105"/>
      <c r="Q395" s="105"/>
      <c r="R395" s="105"/>
    </row>
    <row r="396" ht="14.25" customHeight="1">
      <c r="P396" s="105"/>
      <c r="Q396" s="105"/>
      <c r="R396" s="105"/>
    </row>
    <row r="397" ht="14.25" customHeight="1">
      <c r="P397" s="105"/>
      <c r="Q397" s="105"/>
      <c r="R397" s="105"/>
    </row>
    <row r="398" ht="14.25" customHeight="1">
      <c r="P398" s="105"/>
      <c r="Q398" s="105"/>
      <c r="R398" s="105"/>
    </row>
    <row r="399" ht="14.25" customHeight="1">
      <c r="P399" s="105"/>
      <c r="Q399" s="105"/>
      <c r="R399" s="105"/>
    </row>
    <row r="400" ht="14.25" customHeight="1">
      <c r="P400" s="105"/>
      <c r="Q400" s="105"/>
      <c r="R400" s="105"/>
    </row>
    <row r="401" ht="14.25" customHeight="1">
      <c r="P401" s="105"/>
      <c r="Q401" s="105"/>
      <c r="R401" s="105"/>
    </row>
    <row r="402" ht="14.25" customHeight="1">
      <c r="P402" s="105"/>
      <c r="Q402" s="105"/>
      <c r="R402" s="105"/>
    </row>
    <row r="403" ht="14.25" customHeight="1">
      <c r="P403" s="105"/>
      <c r="Q403" s="105"/>
      <c r="R403" s="105"/>
    </row>
    <row r="404" ht="14.25" customHeight="1">
      <c r="P404" s="105"/>
      <c r="Q404" s="105"/>
      <c r="R404" s="105"/>
    </row>
    <row r="405" ht="14.25" customHeight="1">
      <c r="P405" s="105"/>
      <c r="Q405" s="105"/>
      <c r="R405" s="105"/>
    </row>
    <row r="406" ht="14.25" customHeight="1">
      <c r="P406" s="105"/>
      <c r="Q406" s="105"/>
      <c r="R406" s="105"/>
    </row>
    <row r="407" ht="14.25" customHeight="1">
      <c r="P407" s="105"/>
      <c r="Q407" s="105"/>
      <c r="R407" s="105"/>
    </row>
    <row r="408" ht="14.25" customHeight="1">
      <c r="P408" s="105"/>
      <c r="Q408" s="105"/>
      <c r="R408" s="105"/>
    </row>
    <row r="409" ht="14.25" customHeight="1">
      <c r="P409" s="105"/>
      <c r="Q409" s="105"/>
      <c r="R409" s="105"/>
    </row>
    <row r="410" ht="14.25" customHeight="1">
      <c r="P410" s="105"/>
      <c r="Q410" s="105"/>
      <c r="R410" s="105"/>
    </row>
    <row r="411" ht="14.25" customHeight="1">
      <c r="P411" s="105"/>
      <c r="Q411" s="105"/>
      <c r="R411" s="105"/>
    </row>
    <row r="412" ht="14.25" customHeight="1">
      <c r="P412" s="105"/>
      <c r="Q412" s="105"/>
      <c r="R412" s="105"/>
    </row>
    <row r="413" ht="14.25" customHeight="1">
      <c r="P413" s="105"/>
      <c r="Q413" s="105"/>
      <c r="R413" s="105"/>
    </row>
    <row r="414" ht="14.25" customHeight="1">
      <c r="P414" s="105"/>
      <c r="Q414" s="105"/>
      <c r="R414" s="105"/>
    </row>
    <row r="415" ht="14.25" customHeight="1">
      <c r="P415" s="105"/>
      <c r="Q415" s="105"/>
      <c r="R415" s="105"/>
    </row>
    <row r="416" ht="14.25" customHeight="1">
      <c r="P416" s="105"/>
      <c r="Q416" s="105"/>
      <c r="R416" s="105"/>
    </row>
    <row r="417" ht="14.25" customHeight="1">
      <c r="P417" s="105"/>
      <c r="Q417" s="105"/>
      <c r="R417" s="105"/>
    </row>
    <row r="418" ht="14.25" customHeight="1">
      <c r="P418" s="105"/>
      <c r="Q418" s="105"/>
      <c r="R418" s="105"/>
    </row>
    <row r="419" ht="14.25" customHeight="1">
      <c r="P419" s="105"/>
      <c r="Q419" s="105"/>
      <c r="R419" s="105"/>
    </row>
    <row r="420" ht="14.25" customHeight="1">
      <c r="P420" s="105"/>
      <c r="Q420" s="105"/>
      <c r="R420" s="105"/>
    </row>
    <row r="421" ht="14.25" customHeight="1">
      <c r="P421" s="105"/>
      <c r="Q421" s="105"/>
      <c r="R421" s="105"/>
    </row>
    <row r="422" ht="14.25" customHeight="1">
      <c r="P422" s="105"/>
      <c r="Q422" s="105"/>
      <c r="R422" s="105"/>
    </row>
    <row r="423" ht="14.25" customHeight="1">
      <c r="P423" s="105"/>
      <c r="Q423" s="105"/>
      <c r="R423" s="105"/>
    </row>
    <row r="424" ht="14.25" customHeight="1">
      <c r="P424" s="105"/>
      <c r="Q424" s="105"/>
      <c r="R424" s="105"/>
    </row>
    <row r="425" ht="14.25" customHeight="1">
      <c r="P425" s="105"/>
      <c r="Q425" s="105"/>
      <c r="R425" s="105"/>
    </row>
    <row r="426" ht="14.25" customHeight="1">
      <c r="P426" s="105"/>
      <c r="Q426" s="105"/>
      <c r="R426" s="105"/>
    </row>
    <row r="427" ht="14.25" customHeight="1">
      <c r="P427" s="105"/>
      <c r="Q427" s="105"/>
      <c r="R427" s="105"/>
    </row>
    <row r="428" ht="14.25" customHeight="1">
      <c r="P428" s="105"/>
      <c r="Q428" s="105"/>
      <c r="R428" s="105"/>
    </row>
    <row r="429" ht="14.25" customHeight="1">
      <c r="P429" s="105"/>
      <c r="Q429" s="105"/>
      <c r="R429" s="105"/>
    </row>
    <row r="430" ht="14.25" customHeight="1">
      <c r="P430" s="105"/>
      <c r="Q430" s="105"/>
      <c r="R430" s="105"/>
    </row>
    <row r="431" ht="14.25" customHeight="1">
      <c r="P431" s="105"/>
      <c r="Q431" s="105"/>
      <c r="R431" s="105"/>
    </row>
    <row r="432" ht="14.25" customHeight="1">
      <c r="P432" s="105"/>
      <c r="Q432" s="105"/>
      <c r="R432" s="105"/>
    </row>
    <row r="433" ht="14.25" customHeight="1">
      <c r="P433" s="105"/>
      <c r="Q433" s="105"/>
      <c r="R433" s="105"/>
    </row>
    <row r="434" ht="14.25" customHeight="1">
      <c r="P434" s="105"/>
      <c r="Q434" s="105"/>
      <c r="R434" s="105"/>
    </row>
    <row r="435" ht="14.25" customHeight="1">
      <c r="P435" s="105"/>
      <c r="Q435" s="105"/>
      <c r="R435" s="105"/>
    </row>
    <row r="436" ht="14.25" customHeight="1">
      <c r="P436" s="105"/>
      <c r="Q436" s="105"/>
      <c r="R436" s="105"/>
    </row>
    <row r="437" ht="14.25" customHeight="1">
      <c r="P437" s="105"/>
      <c r="Q437" s="105"/>
      <c r="R437" s="105"/>
    </row>
    <row r="438" ht="14.25" customHeight="1">
      <c r="P438" s="105"/>
      <c r="Q438" s="105"/>
      <c r="R438" s="105"/>
    </row>
    <row r="439" ht="14.25" customHeight="1">
      <c r="P439" s="105"/>
      <c r="Q439" s="105"/>
      <c r="R439" s="105"/>
    </row>
    <row r="440" ht="14.25" customHeight="1">
      <c r="P440" s="105"/>
      <c r="Q440" s="105"/>
      <c r="R440" s="105"/>
    </row>
    <row r="441" ht="14.25" customHeight="1">
      <c r="P441" s="105"/>
      <c r="Q441" s="105"/>
      <c r="R441" s="105"/>
    </row>
    <row r="442" ht="14.25" customHeight="1">
      <c r="P442" s="105"/>
      <c r="Q442" s="105"/>
      <c r="R442" s="105"/>
    </row>
    <row r="443" ht="14.25" customHeight="1">
      <c r="P443" s="105"/>
      <c r="Q443" s="105"/>
      <c r="R443" s="105"/>
    </row>
    <row r="444" ht="14.25" customHeight="1">
      <c r="P444" s="105"/>
      <c r="Q444" s="105"/>
      <c r="R444" s="105"/>
    </row>
    <row r="445" ht="14.25" customHeight="1">
      <c r="P445" s="105"/>
      <c r="Q445" s="105"/>
      <c r="R445" s="105"/>
    </row>
    <row r="446" ht="14.25" customHeight="1">
      <c r="P446" s="105"/>
      <c r="Q446" s="105"/>
      <c r="R446" s="105"/>
    </row>
    <row r="447" ht="14.25" customHeight="1">
      <c r="P447" s="105"/>
      <c r="Q447" s="105"/>
      <c r="R447" s="105"/>
    </row>
    <row r="448" ht="14.25" customHeight="1">
      <c r="P448" s="105"/>
      <c r="Q448" s="105"/>
      <c r="R448" s="105"/>
    </row>
    <row r="449" ht="14.25" customHeight="1">
      <c r="P449" s="105"/>
      <c r="Q449" s="105"/>
      <c r="R449" s="105"/>
    </row>
    <row r="450" ht="14.25" customHeight="1">
      <c r="P450" s="105"/>
      <c r="Q450" s="105"/>
      <c r="R450" s="105"/>
    </row>
    <row r="451" ht="14.25" customHeight="1">
      <c r="P451" s="105"/>
      <c r="Q451" s="105"/>
      <c r="R451" s="105"/>
    </row>
    <row r="452" ht="14.25" customHeight="1">
      <c r="P452" s="105"/>
      <c r="Q452" s="105"/>
      <c r="R452" s="105"/>
    </row>
    <row r="453" ht="14.25" customHeight="1">
      <c r="P453" s="105"/>
      <c r="Q453" s="105"/>
      <c r="R453" s="105"/>
    </row>
    <row r="454" ht="14.25" customHeight="1">
      <c r="P454" s="105"/>
      <c r="Q454" s="105"/>
      <c r="R454" s="105"/>
    </row>
    <row r="455" ht="14.25" customHeight="1">
      <c r="P455" s="105"/>
      <c r="Q455" s="105"/>
      <c r="R455" s="105"/>
    </row>
    <row r="456" ht="14.25" customHeight="1">
      <c r="P456" s="105"/>
      <c r="Q456" s="105"/>
      <c r="R456" s="105"/>
    </row>
    <row r="457" ht="14.25" customHeight="1">
      <c r="P457" s="105"/>
      <c r="Q457" s="105"/>
      <c r="R457" s="105"/>
    </row>
    <row r="458" ht="14.25" customHeight="1">
      <c r="P458" s="105"/>
      <c r="Q458" s="105"/>
      <c r="R458" s="105"/>
    </row>
    <row r="459" ht="14.25" customHeight="1">
      <c r="P459" s="105"/>
      <c r="Q459" s="105"/>
      <c r="R459" s="105"/>
    </row>
    <row r="460" ht="14.25" customHeight="1">
      <c r="P460" s="105"/>
      <c r="Q460" s="105"/>
      <c r="R460" s="105"/>
    </row>
    <row r="461" ht="14.25" customHeight="1">
      <c r="P461" s="105"/>
      <c r="Q461" s="105"/>
      <c r="R461" s="105"/>
    </row>
    <row r="462" ht="14.25" customHeight="1">
      <c r="P462" s="105"/>
      <c r="Q462" s="105"/>
      <c r="R462" s="105"/>
    </row>
    <row r="463" ht="14.25" customHeight="1">
      <c r="P463" s="105"/>
      <c r="Q463" s="105"/>
      <c r="R463" s="105"/>
    </row>
    <row r="464" ht="14.25" customHeight="1">
      <c r="P464" s="105"/>
      <c r="Q464" s="105"/>
      <c r="R464" s="105"/>
    </row>
    <row r="465" ht="14.25" customHeight="1">
      <c r="P465" s="105"/>
      <c r="Q465" s="105"/>
      <c r="R465" s="105"/>
    </row>
    <row r="466" ht="14.25" customHeight="1">
      <c r="P466" s="105"/>
      <c r="Q466" s="105"/>
      <c r="R466" s="105"/>
    </row>
    <row r="467" ht="14.25" customHeight="1">
      <c r="P467" s="105"/>
      <c r="Q467" s="105"/>
      <c r="R467" s="105"/>
    </row>
    <row r="468" ht="14.25" customHeight="1">
      <c r="P468" s="105"/>
      <c r="Q468" s="105"/>
      <c r="R468" s="105"/>
    </row>
    <row r="469" ht="14.25" customHeight="1">
      <c r="P469" s="105"/>
      <c r="Q469" s="105"/>
      <c r="R469" s="105"/>
    </row>
    <row r="470" ht="14.25" customHeight="1">
      <c r="P470" s="105"/>
      <c r="Q470" s="105"/>
      <c r="R470" s="105"/>
    </row>
    <row r="471" ht="14.25" customHeight="1">
      <c r="P471" s="105"/>
      <c r="Q471" s="105"/>
      <c r="R471" s="105"/>
    </row>
    <row r="472" ht="14.25" customHeight="1">
      <c r="P472" s="105"/>
      <c r="Q472" s="105"/>
      <c r="R472" s="105"/>
    </row>
    <row r="473" ht="14.25" customHeight="1">
      <c r="P473" s="105"/>
      <c r="Q473" s="105"/>
      <c r="R473" s="105"/>
    </row>
    <row r="474" ht="14.25" customHeight="1">
      <c r="P474" s="105"/>
      <c r="Q474" s="105"/>
      <c r="R474" s="105"/>
    </row>
    <row r="475" ht="14.25" customHeight="1">
      <c r="P475" s="105"/>
      <c r="Q475" s="105"/>
      <c r="R475" s="105"/>
    </row>
    <row r="476" ht="14.25" customHeight="1">
      <c r="P476" s="105"/>
      <c r="Q476" s="105"/>
      <c r="R476" s="105"/>
    </row>
    <row r="477" ht="14.25" customHeight="1">
      <c r="P477" s="105"/>
      <c r="Q477" s="105"/>
      <c r="R477" s="105"/>
    </row>
    <row r="478" ht="14.25" customHeight="1">
      <c r="P478" s="105"/>
      <c r="Q478" s="105"/>
      <c r="R478" s="105"/>
    </row>
    <row r="479" ht="14.25" customHeight="1">
      <c r="P479" s="105"/>
      <c r="Q479" s="105"/>
      <c r="R479" s="105"/>
    </row>
    <row r="480" ht="14.25" customHeight="1">
      <c r="P480" s="105"/>
      <c r="Q480" s="105"/>
      <c r="R480" s="105"/>
    </row>
    <row r="481" ht="14.25" customHeight="1">
      <c r="P481" s="105"/>
      <c r="Q481" s="105"/>
      <c r="R481" s="105"/>
    </row>
    <row r="482" ht="14.25" customHeight="1">
      <c r="P482" s="105"/>
      <c r="Q482" s="105"/>
      <c r="R482" s="105"/>
    </row>
    <row r="483" ht="14.25" customHeight="1">
      <c r="P483" s="105"/>
      <c r="Q483" s="105"/>
      <c r="R483" s="105"/>
    </row>
    <row r="484" ht="14.25" customHeight="1">
      <c r="P484" s="105"/>
      <c r="Q484" s="105"/>
      <c r="R484" s="105"/>
    </row>
    <row r="485" ht="14.25" customHeight="1">
      <c r="P485" s="105"/>
      <c r="Q485" s="105"/>
      <c r="R485" s="105"/>
    </row>
    <row r="486" ht="14.25" customHeight="1">
      <c r="P486" s="105"/>
      <c r="Q486" s="105"/>
      <c r="R486" s="105"/>
    </row>
    <row r="487" ht="14.25" customHeight="1">
      <c r="P487" s="105"/>
      <c r="Q487" s="105"/>
      <c r="R487" s="105"/>
    </row>
    <row r="488" ht="14.25" customHeight="1">
      <c r="P488" s="105"/>
      <c r="Q488" s="105"/>
      <c r="R488" s="105"/>
    </row>
    <row r="489" ht="14.25" customHeight="1">
      <c r="P489" s="105"/>
      <c r="Q489" s="105"/>
      <c r="R489" s="105"/>
    </row>
    <row r="490" ht="14.25" customHeight="1">
      <c r="P490" s="105"/>
      <c r="Q490" s="105"/>
      <c r="R490" s="105"/>
    </row>
    <row r="491" ht="14.25" customHeight="1">
      <c r="P491" s="105"/>
      <c r="Q491" s="105"/>
      <c r="R491" s="105"/>
    </row>
    <row r="492" ht="14.25" customHeight="1">
      <c r="P492" s="105"/>
      <c r="Q492" s="105"/>
      <c r="R492" s="105"/>
    </row>
    <row r="493" ht="14.25" customHeight="1">
      <c r="P493" s="105"/>
      <c r="Q493" s="105"/>
      <c r="R493" s="105"/>
    </row>
    <row r="494" ht="14.25" customHeight="1">
      <c r="P494" s="105"/>
      <c r="Q494" s="105"/>
      <c r="R494" s="105"/>
    </row>
    <row r="495" ht="14.25" customHeight="1">
      <c r="P495" s="105"/>
      <c r="Q495" s="105"/>
      <c r="R495" s="105"/>
    </row>
    <row r="496" ht="14.25" customHeight="1">
      <c r="P496" s="105"/>
      <c r="Q496" s="105"/>
      <c r="R496" s="105"/>
    </row>
    <row r="497" ht="14.25" customHeight="1">
      <c r="P497" s="105"/>
      <c r="Q497" s="105"/>
      <c r="R497" s="105"/>
    </row>
    <row r="498" ht="14.25" customHeight="1">
      <c r="P498" s="105"/>
      <c r="Q498" s="105"/>
      <c r="R498" s="105"/>
    </row>
    <row r="499" ht="14.25" customHeight="1">
      <c r="P499" s="105"/>
      <c r="Q499" s="105"/>
      <c r="R499" s="105"/>
    </row>
    <row r="500" ht="14.25" customHeight="1">
      <c r="P500" s="105"/>
      <c r="Q500" s="105"/>
      <c r="R500" s="105"/>
    </row>
    <row r="501" ht="14.25" customHeight="1">
      <c r="P501" s="105"/>
      <c r="Q501" s="105"/>
      <c r="R501" s="105"/>
    </row>
    <row r="502" ht="14.25" customHeight="1">
      <c r="P502" s="105"/>
      <c r="Q502" s="105"/>
      <c r="R502" s="105"/>
    </row>
    <row r="503" ht="14.25" customHeight="1">
      <c r="P503" s="105"/>
      <c r="Q503" s="105"/>
      <c r="R503" s="105"/>
    </row>
    <row r="504" ht="14.25" customHeight="1">
      <c r="P504" s="105"/>
      <c r="Q504" s="105"/>
      <c r="R504" s="105"/>
    </row>
    <row r="505" ht="14.25" customHeight="1">
      <c r="P505" s="105"/>
      <c r="Q505" s="105"/>
      <c r="R505" s="105"/>
    </row>
    <row r="506" ht="14.25" customHeight="1">
      <c r="P506" s="105"/>
      <c r="Q506" s="105"/>
      <c r="R506" s="105"/>
    </row>
    <row r="507" ht="14.25" customHeight="1">
      <c r="P507" s="105"/>
      <c r="Q507" s="105"/>
      <c r="R507" s="105"/>
    </row>
    <row r="508" ht="14.25" customHeight="1">
      <c r="P508" s="105"/>
      <c r="Q508" s="105"/>
      <c r="R508" s="105"/>
    </row>
    <row r="509" ht="14.25" customHeight="1">
      <c r="P509" s="105"/>
      <c r="Q509" s="105"/>
      <c r="R509" s="105"/>
    </row>
    <row r="510" ht="14.25" customHeight="1">
      <c r="P510" s="105"/>
      <c r="Q510" s="105"/>
      <c r="R510" s="105"/>
    </row>
    <row r="511" ht="14.25" customHeight="1">
      <c r="P511" s="105"/>
      <c r="Q511" s="105"/>
      <c r="R511" s="105"/>
    </row>
    <row r="512" ht="14.25" customHeight="1">
      <c r="P512" s="105"/>
      <c r="Q512" s="105"/>
      <c r="R512" s="105"/>
    </row>
    <row r="513" ht="14.25" customHeight="1">
      <c r="P513" s="105"/>
      <c r="Q513" s="105"/>
      <c r="R513" s="105"/>
    </row>
    <row r="514" ht="14.25" customHeight="1">
      <c r="P514" s="105"/>
      <c r="Q514" s="105"/>
      <c r="R514" s="105"/>
    </row>
    <row r="515" ht="14.25" customHeight="1">
      <c r="P515" s="105"/>
      <c r="Q515" s="105"/>
      <c r="R515" s="105"/>
    </row>
    <row r="516" ht="14.25" customHeight="1">
      <c r="P516" s="105"/>
      <c r="Q516" s="105"/>
      <c r="R516" s="105"/>
    </row>
    <row r="517" ht="14.25" customHeight="1">
      <c r="P517" s="105"/>
      <c r="Q517" s="105"/>
      <c r="R517" s="105"/>
    </row>
    <row r="518" ht="14.25" customHeight="1">
      <c r="P518" s="105"/>
      <c r="Q518" s="105"/>
      <c r="R518" s="105"/>
    </row>
    <row r="519" ht="14.25" customHeight="1">
      <c r="P519" s="105"/>
      <c r="Q519" s="105"/>
      <c r="R519" s="105"/>
    </row>
    <row r="520" ht="14.25" customHeight="1">
      <c r="P520" s="105"/>
      <c r="Q520" s="105"/>
      <c r="R520" s="105"/>
    </row>
    <row r="521" ht="14.25" customHeight="1">
      <c r="P521" s="105"/>
      <c r="Q521" s="105"/>
      <c r="R521" s="105"/>
    </row>
    <row r="522" ht="14.25" customHeight="1">
      <c r="P522" s="105"/>
      <c r="Q522" s="105"/>
      <c r="R522" s="105"/>
    </row>
    <row r="523" ht="14.25" customHeight="1">
      <c r="P523" s="105"/>
      <c r="Q523" s="105"/>
      <c r="R523" s="105"/>
    </row>
    <row r="524" ht="14.25" customHeight="1">
      <c r="P524" s="105"/>
      <c r="Q524" s="105"/>
      <c r="R524" s="105"/>
    </row>
    <row r="525" ht="14.25" customHeight="1">
      <c r="P525" s="105"/>
      <c r="Q525" s="105"/>
      <c r="R525" s="105"/>
    </row>
    <row r="526" ht="14.25" customHeight="1">
      <c r="P526" s="105"/>
      <c r="Q526" s="105"/>
      <c r="R526" s="105"/>
    </row>
    <row r="527" ht="14.25" customHeight="1">
      <c r="P527" s="105"/>
      <c r="Q527" s="105"/>
      <c r="R527" s="105"/>
    </row>
    <row r="528" ht="14.25" customHeight="1">
      <c r="P528" s="105"/>
      <c r="Q528" s="105"/>
      <c r="R528" s="105"/>
    </row>
    <row r="529" ht="14.25" customHeight="1">
      <c r="P529" s="105"/>
      <c r="Q529" s="105"/>
      <c r="R529" s="105"/>
    </row>
    <row r="530" ht="14.25" customHeight="1">
      <c r="P530" s="105"/>
      <c r="Q530" s="105"/>
      <c r="R530" s="105"/>
    </row>
    <row r="531" ht="14.25" customHeight="1">
      <c r="P531" s="105"/>
      <c r="Q531" s="105"/>
      <c r="R531" s="105"/>
    </row>
    <row r="532" ht="14.25" customHeight="1">
      <c r="P532" s="105"/>
      <c r="Q532" s="105"/>
      <c r="R532" s="105"/>
    </row>
    <row r="533" ht="14.25" customHeight="1">
      <c r="P533" s="105"/>
      <c r="Q533" s="105"/>
      <c r="R533" s="105"/>
    </row>
    <row r="534" ht="14.25" customHeight="1">
      <c r="P534" s="105"/>
      <c r="Q534" s="105"/>
      <c r="R534" s="105"/>
    </row>
    <row r="535" ht="14.25" customHeight="1">
      <c r="P535" s="105"/>
      <c r="Q535" s="105"/>
      <c r="R535" s="105"/>
    </row>
    <row r="536" ht="14.25" customHeight="1">
      <c r="P536" s="105"/>
      <c r="Q536" s="105"/>
      <c r="R536" s="105"/>
    </row>
    <row r="537" ht="14.25" customHeight="1">
      <c r="P537" s="105"/>
      <c r="Q537" s="105"/>
      <c r="R537" s="105"/>
    </row>
    <row r="538" ht="14.25" customHeight="1">
      <c r="P538" s="105"/>
      <c r="Q538" s="105"/>
      <c r="R538" s="105"/>
    </row>
    <row r="539" ht="14.25" customHeight="1">
      <c r="P539" s="105"/>
      <c r="Q539" s="105"/>
      <c r="R539" s="105"/>
    </row>
    <row r="540" ht="14.25" customHeight="1">
      <c r="P540" s="105"/>
      <c r="Q540" s="105"/>
      <c r="R540" s="105"/>
    </row>
    <row r="541" ht="14.25" customHeight="1">
      <c r="P541" s="105"/>
      <c r="Q541" s="105"/>
      <c r="R541" s="105"/>
    </row>
    <row r="542" ht="14.25" customHeight="1">
      <c r="P542" s="105"/>
      <c r="Q542" s="105"/>
      <c r="R542" s="105"/>
    </row>
    <row r="543" ht="14.25" customHeight="1">
      <c r="P543" s="105"/>
      <c r="Q543" s="105"/>
      <c r="R543" s="105"/>
    </row>
    <row r="544" ht="14.25" customHeight="1">
      <c r="P544" s="105"/>
      <c r="Q544" s="105"/>
      <c r="R544" s="105"/>
    </row>
    <row r="545" ht="14.25" customHeight="1">
      <c r="P545" s="105"/>
      <c r="Q545" s="105"/>
      <c r="R545" s="105"/>
    </row>
    <row r="546" ht="14.25" customHeight="1">
      <c r="P546" s="105"/>
      <c r="Q546" s="105"/>
      <c r="R546" s="105"/>
    </row>
    <row r="547" ht="14.25" customHeight="1">
      <c r="P547" s="105"/>
      <c r="Q547" s="105"/>
      <c r="R547" s="105"/>
    </row>
    <row r="548" ht="14.25" customHeight="1">
      <c r="P548" s="105"/>
      <c r="Q548" s="105"/>
      <c r="R548" s="105"/>
    </row>
    <row r="549" ht="14.25" customHeight="1">
      <c r="P549" s="105"/>
      <c r="Q549" s="105"/>
      <c r="R549" s="105"/>
    </row>
    <row r="550" ht="14.25" customHeight="1">
      <c r="P550" s="105"/>
      <c r="Q550" s="105"/>
      <c r="R550" s="105"/>
    </row>
    <row r="551" ht="14.25" customHeight="1">
      <c r="P551" s="105"/>
      <c r="Q551" s="105"/>
      <c r="R551" s="105"/>
    </row>
    <row r="552" ht="14.25" customHeight="1">
      <c r="P552" s="105"/>
      <c r="Q552" s="105"/>
      <c r="R552" s="105"/>
    </row>
    <row r="553" ht="14.25" customHeight="1">
      <c r="P553" s="105"/>
      <c r="Q553" s="105"/>
      <c r="R553" s="105"/>
    </row>
    <row r="554" ht="14.25" customHeight="1">
      <c r="P554" s="105"/>
      <c r="Q554" s="105"/>
      <c r="R554" s="105"/>
    </row>
    <row r="555" ht="14.25" customHeight="1">
      <c r="P555" s="105"/>
      <c r="Q555" s="105"/>
      <c r="R555" s="105"/>
    </row>
    <row r="556" ht="14.25" customHeight="1">
      <c r="P556" s="105"/>
      <c r="Q556" s="105"/>
      <c r="R556" s="105"/>
    </row>
    <row r="557" ht="14.25" customHeight="1">
      <c r="P557" s="105"/>
      <c r="Q557" s="105"/>
      <c r="R557" s="105"/>
    </row>
    <row r="558" ht="14.25" customHeight="1">
      <c r="P558" s="105"/>
      <c r="Q558" s="105"/>
      <c r="R558" s="105"/>
    </row>
    <row r="559" ht="14.25" customHeight="1">
      <c r="P559" s="105"/>
      <c r="Q559" s="105"/>
      <c r="R559" s="105"/>
    </row>
    <row r="560" ht="14.25" customHeight="1">
      <c r="P560" s="105"/>
      <c r="Q560" s="105"/>
      <c r="R560" s="105"/>
    </row>
    <row r="561" ht="14.25" customHeight="1">
      <c r="P561" s="105"/>
      <c r="Q561" s="105"/>
      <c r="R561" s="105"/>
    </row>
    <row r="562" ht="14.25" customHeight="1">
      <c r="P562" s="105"/>
      <c r="Q562" s="105"/>
      <c r="R562" s="105"/>
    </row>
    <row r="563" ht="14.25" customHeight="1">
      <c r="P563" s="105"/>
      <c r="Q563" s="105"/>
      <c r="R563" s="105"/>
    </row>
    <row r="564" ht="14.25" customHeight="1">
      <c r="P564" s="105"/>
      <c r="Q564" s="105"/>
      <c r="R564" s="105"/>
    </row>
    <row r="565" ht="14.25" customHeight="1">
      <c r="P565" s="105"/>
      <c r="Q565" s="105"/>
      <c r="R565" s="105"/>
    </row>
    <row r="566" ht="14.25" customHeight="1">
      <c r="P566" s="105"/>
      <c r="Q566" s="105"/>
      <c r="R566" s="105"/>
    </row>
    <row r="567" ht="14.25" customHeight="1">
      <c r="P567" s="105"/>
      <c r="Q567" s="105"/>
      <c r="R567" s="105"/>
    </row>
    <row r="568" ht="14.25" customHeight="1">
      <c r="P568" s="105"/>
      <c r="Q568" s="105"/>
      <c r="R568" s="105"/>
    </row>
    <row r="569" ht="14.25" customHeight="1">
      <c r="P569" s="105"/>
      <c r="Q569" s="105"/>
      <c r="R569" s="105"/>
    </row>
    <row r="570" ht="14.25" customHeight="1">
      <c r="P570" s="105"/>
      <c r="Q570" s="105"/>
      <c r="R570" s="105"/>
    </row>
    <row r="571" ht="14.25" customHeight="1">
      <c r="P571" s="105"/>
      <c r="Q571" s="105"/>
      <c r="R571" s="105"/>
    </row>
    <row r="572" ht="14.25" customHeight="1">
      <c r="P572" s="105"/>
      <c r="Q572" s="105"/>
      <c r="R572" s="105"/>
    </row>
    <row r="573" ht="14.25" customHeight="1">
      <c r="P573" s="105"/>
      <c r="Q573" s="105"/>
      <c r="R573" s="105"/>
    </row>
    <row r="574" ht="14.25" customHeight="1">
      <c r="P574" s="105"/>
      <c r="Q574" s="105"/>
      <c r="R574" s="105"/>
    </row>
    <row r="575" ht="14.25" customHeight="1">
      <c r="P575" s="105"/>
      <c r="Q575" s="105"/>
      <c r="R575" s="105"/>
    </row>
    <row r="576" ht="14.25" customHeight="1">
      <c r="P576" s="105"/>
      <c r="Q576" s="105"/>
      <c r="R576" s="105"/>
    </row>
    <row r="577" ht="14.25" customHeight="1">
      <c r="P577" s="105"/>
      <c r="Q577" s="105"/>
      <c r="R577" s="105"/>
    </row>
    <row r="578" ht="14.25" customHeight="1">
      <c r="P578" s="105"/>
      <c r="Q578" s="105"/>
      <c r="R578" s="105"/>
    </row>
    <row r="579" ht="14.25" customHeight="1">
      <c r="P579" s="105"/>
      <c r="Q579" s="105"/>
      <c r="R579" s="105"/>
    </row>
    <row r="580" ht="14.25" customHeight="1">
      <c r="P580" s="105"/>
      <c r="Q580" s="105"/>
      <c r="R580" s="105"/>
    </row>
    <row r="581" ht="14.25" customHeight="1">
      <c r="P581" s="105"/>
      <c r="Q581" s="105"/>
      <c r="R581" s="105"/>
    </row>
    <row r="582" ht="14.25" customHeight="1">
      <c r="P582" s="105"/>
      <c r="Q582" s="105"/>
      <c r="R582" s="105"/>
    </row>
    <row r="583" ht="14.25" customHeight="1">
      <c r="P583" s="105"/>
      <c r="Q583" s="105"/>
      <c r="R583" s="105"/>
    </row>
    <row r="584" ht="14.25" customHeight="1">
      <c r="P584" s="105"/>
      <c r="Q584" s="105"/>
      <c r="R584" s="105"/>
    </row>
    <row r="585" ht="14.25" customHeight="1">
      <c r="P585" s="105"/>
      <c r="Q585" s="105"/>
      <c r="R585" s="105"/>
    </row>
    <row r="586" ht="14.25" customHeight="1">
      <c r="P586" s="105"/>
      <c r="Q586" s="105"/>
      <c r="R586" s="105"/>
    </row>
    <row r="587" ht="14.25" customHeight="1">
      <c r="P587" s="105"/>
      <c r="Q587" s="105"/>
      <c r="R587" s="105"/>
    </row>
    <row r="588" ht="14.25" customHeight="1">
      <c r="P588" s="105"/>
      <c r="Q588" s="105"/>
      <c r="R588" s="105"/>
    </row>
    <row r="589" ht="14.25" customHeight="1">
      <c r="P589" s="105"/>
      <c r="Q589" s="105"/>
      <c r="R589" s="105"/>
    </row>
    <row r="590" ht="14.25" customHeight="1">
      <c r="P590" s="105"/>
      <c r="Q590" s="105"/>
      <c r="R590" s="105"/>
    </row>
    <row r="591" ht="14.25" customHeight="1">
      <c r="P591" s="105"/>
      <c r="Q591" s="105"/>
      <c r="R591" s="105"/>
    </row>
    <row r="592" ht="14.25" customHeight="1">
      <c r="P592" s="105"/>
      <c r="Q592" s="105"/>
      <c r="R592" s="105"/>
    </row>
    <row r="593" ht="14.25" customHeight="1">
      <c r="P593" s="105"/>
      <c r="Q593" s="105"/>
      <c r="R593" s="105"/>
    </row>
    <row r="594" ht="14.25" customHeight="1">
      <c r="P594" s="105"/>
      <c r="Q594" s="105"/>
      <c r="R594" s="105"/>
    </row>
    <row r="595" ht="14.25" customHeight="1">
      <c r="P595" s="105"/>
      <c r="Q595" s="105"/>
      <c r="R595" s="105"/>
    </row>
    <row r="596" ht="14.25" customHeight="1">
      <c r="P596" s="105"/>
      <c r="Q596" s="105"/>
      <c r="R596" s="105"/>
    </row>
    <row r="597" ht="14.25" customHeight="1">
      <c r="P597" s="105"/>
      <c r="Q597" s="105"/>
      <c r="R597" s="105"/>
    </row>
    <row r="598" ht="14.25" customHeight="1">
      <c r="P598" s="105"/>
      <c r="Q598" s="105"/>
      <c r="R598" s="105"/>
    </row>
    <row r="599" ht="14.25" customHeight="1">
      <c r="P599" s="105"/>
      <c r="Q599" s="105"/>
      <c r="R599" s="105"/>
    </row>
    <row r="600" ht="14.25" customHeight="1">
      <c r="P600" s="105"/>
      <c r="Q600" s="105"/>
      <c r="R600" s="105"/>
    </row>
    <row r="601" ht="14.25" customHeight="1">
      <c r="P601" s="105"/>
      <c r="Q601" s="105"/>
      <c r="R601" s="105"/>
    </row>
    <row r="602" ht="14.25" customHeight="1">
      <c r="P602" s="105"/>
      <c r="Q602" s="105"/>
      <c r="R602" s="105"/>
    </row>
    <row r="603" ht="14.25" customHeight="1">
      <c r="P603" s="105"/>
      <c r="Q603" s="105"/>
      <c r="R603" s="105"/>
    </row>
    <row r="604" ht="14.25" customHeight="1">
      <c r="P604" s="105"/>
      <c r="Q604" s="105"/>
      <c r="R604" s="105"/>
    </row>
    <row r="605" ht="14.25" customHeight="1">
      <c r="P605" s="105"/>
      <c r="Q605" s="105"/>
      <c r="R605" s="105"/>
    </row>
    <row r="606" ht="14.25" customHeight="1">
      <c r="P606" s="105"/>
      <c r="Q606" s="105"/>
      <c r="R606" s="105"/>
    </row>
    <row r="607" ht="14.25" customHeight="1">
      <c r="P607" s="105"/>
      <c r="Q607" s="105"/>
      <c r="R607" s="105"/>
    </row>
    <row r="608" ht="14.25" customHeight="1">
      <c r="P608" s="105"/>
      <c r="Q608" s="105"/>
      <c r="R608" s="105"/>
    </row>
    <row r="609" ht="14.25" customHeight="1">
      <c r="P609" s="105"/>
      <c r="Q609" s="105"/>
      <c r="R609" s="105"/>
    </row>
    <row r="610" ht="14.25" customHeight="1">
      <c r="P610" s="105"/>
      <c r="Q610" s="105"/>
      <c r="R610" s="105"/>
    </row>
    <row r="611" ht="14.25" customHeight="1">
      <c r="P611" s="105"/>
      <c r="Q611" s="105"/>
      <c r="R611" s="105"/>
    </row>
    <row r="612" ht="14.25" customHeight="1">
      <c r="P612" s="105"/>
      <c r="Q612" s="105"/>
      <c r="R612" s="105"/>
    </row>
    <row r="613" ht="14.25" customHeight="1">
      <c r="P613" s="105"/>
      <c r="Q613" s="105"/>
      <c r="R613" s="105"/>
    </row>
    <row r="614" ht="14.25" customHeight="1">
      <c r="P614" s="105"/>
      <c r="Q614" s="105"/>
      <c r="R614" s="105"/>
    </row>
    <row r="615" ht="14.25" customHeight="1">
      <c r="P615" s="105"/>
      <c r="Q615" s="105"/>
      <c r="R615" s="105"/>
    </row>
    <row r="616" ht="14.25" customHeight="1">
      <c r="P616" s="105"/>
      <c r="Q616" s="105"/>
      <c r="R616" s="105"/>
    </row>
    <row r="617" ht="14.25" customHeight="1">
      <c r="P617" s="105"/>
      <c r="Q617" s="105"/>
      <c r="R617" s="105"/>
    </row>
    <row r="618" ht="14.25" customHeight="1">
      <c r="P618" s="105"/>
      <c r="Q618" s="105"/>
      <c r="R618" s="105"/>
    </row>
    <row r="619" ht="14.25" customHeight="1">
      <c r="P619" s="105"/>
      <c r="Q619" s="105"/>
      <c r="R619" s="105"/>
    </row>
    <row r="620" ht="14.25" customHeight="1">
      <c r="P620" s="105"/>
      <c r="Q620" s="105"/>
      <c r="R620" s="105"/>
    </row>
    <row r="621" ht="14.25" customHeight="1">
      <c r="P621" s="105"/>
      <c r="Q621" s="105"/>
      <c r="R621" s="105"/>
    </row>
    <row r="622" ht="14.25" customHeight="1">
      <c r="P622" s="105"/>
      <c r="Q622" s="105"/>
      <c r="R622" s="105"/>
    </row>
    <row r="623" ht="14.25" customHeight="1">
      <c r="P623" s="105"/>
      <c r="Q623" s="105"/>
      <c r="R623" s="105"/>
    </row>
    <row r="624" ht="14.25" customHeight="1">
      <c r="P624" s="105"/>
      <c r="Q624" s="105"/>
      <c r="R624" s="105"/>
    </row>
    <row r="625" ht="14.25" customHeight="1">
      <c r="P625" s="105"/>
      <c r="Q625" s="105"/>
      <c r="R625" s="105"/>
    </row>
    <row r="626" ht="14.25" customHeight="1">
      <c r="P626" s="105"/>
      <c r="Q626" s="105"/>
      <c r="R626" s="105"/>
    </row>
    <row r="627" ht="14.25" customHeight="1">
      <c r="P627" s="105"/>
      <c r="Q627" s="105"/>
      <c r="R627" s="105"/>
    </row>
    <row r="628" ht="14.25" customHeight="1">
      <c r="P628" s="105"/>
      <c r="Q628" s="105"/>
      <c r="R628" s="105"/>
    </row>
    <row r="629" ht="14.25" customHeight="1">
      <c r="P629" s="105"/>
      <c r="Q629" s="105"/>
      <c r="R629" s="105"/>
    </row>
    <row r="630" ht="14.25" customHeight="1">
      <c r="P630" s="105"/>
      <c r="Q630" s="105"/>
      <c r="R630" s="105"/>
    </row>
    <row r="631" ht="14.25" customHeight="1">
      <c r="P631" s="105"/>
      <c r="Q631" s="105"/>
      <c r="R631" s="105"/>
    </row>
    <row r="632" ht="14.25" customHeight="1">
      <c r="P632" s="105"/>
      <c r="Q632" s="105"/>
      <c r="R632" s="105"/>
    </row>
    <row r="633" ht="14.25" customHeight="1">
      <c r="P633" s="105"/>
      <c r="Q633" s="105"/>
      <c r="R633" s="105"/>
    </row>
    <row r="634" ht="14.25" customHeight="1">
      <c r="P634" s="105"/>
      <c r="Q634" s="105"/>
      <c r="R634" s="105"/>
    </row>
    <row r="635" ht="14.25" customHeight="1">
      <c r="P635" s="105"/>
      <c r="Q635" s="105"/>
      <c r="R635" s="105"/>
    </row>
    <row r="636" ht="14.25" customHeight="1">
      <c r="P636" s="105"/>
      <c r="Q636" s="105"/>
      <c r="R636" s="105"/>
    </row>
    <row r="637" ht="14.25" customHeight="1">
      <c r="P637" s="105"/>
      <c r="Q637" s="105"/>
      <c r="R637" s="105"/>
    </row>
    <row r="638" ht="14.25" customHeight="1">
      <c r="P638" s="105"/>
      <c r="Q638" s="105"/>
      <c r="R638" s="105"/>
    </row>
    <row r="639" ht="14.25" customHeight="1">
      <c r="P639" s="105"/>
      <c r="Q639" s="105"/>
      <c r="R639" s="105"/>
    </row>
    <row r="640" ht="14.25" customHeight="1">
      <c r="P640" s="105"/>
      <c r="Q640" s="105"/>
      <c r="R640" s="105"/>
    </row>
    <row r="641" ht="14.25" customHeight="1">
      <c r="P641" s="105"/>
      <c r="Q641" s="105"/>
      <c r="R641" s="105"/>
    </row>
    <row r="642" ht="14.25" customHeight="1">
      <c r="P642" s="105"/>
      <c r="Q642" s="105"/>
      <c r="R642" s="105"/>
    </row>
    <row r="643" ht="14.25" customHeight="1">
      <c r="P643" s="105"/>
      <c r="Q643" s="105"/>
      <c r="R643" s="105"/>
    </row>
    <row r="644" ht="14.25" customHeight="1">
      <c r="P644" s="105"/>
      <c r="Q644" s="105"/>
      <c r="R644" s="105"/>
    </row>
    <row r="645" ht="14.25" customHeight="1">
      <c r="P645" s="105"/>
      <c r="Q645" s="105"/>
      <c r="R645" s="105"/>
    </row>
    <row r="646" ht="14.25" customHeight="1">
      <c r="P646" s="105"/>
      <c r="Q646" s="105"/>
      <c r="R646" s="105"/>
    </row>
    <row r="647" ht="14.25" customHeight="1">
      <c r="P647" s="105"/>
      <c r="Q647" s="105"/>
      <c r="R647" s="105"/>
    </row>
    <row r="648" ht="14.25" customHeight="1">
      <c r="P648" s="105"/>
      <c r="Q648" s="105"/>
      <c r="R648" s="105"/>
    </row>
    <row r="649" ht="14.25" customHeight="1">
      <c r="P649" s="105"/>
      <c r="Q649" s="105"/>
      <c r="R649" s="105"/>
    </row>
    <row r="650" ht="14.25" customHeight="1">
      <c r="P650" s="105"/>
      <c r="Q650" s="105"/>
      <c r="R650" s="105"/>
    </row>
    <row r="651" ht="14.25" customHeight="1">
      <c r="P651" s="105"/>
      <c r="Q651" s="105"/>
      <c r="R651" s="105"/>
    </row>
    <row r="652" ht="14.25" customHeight="1">
      <c r="P652" s="105"/>
      <c r="Q652" s="105"/>
      <c r="R652" s="105"/>
    </row>
    <row r="653" ht="14.25" customHeight="1">
      <c r="P653" s="105"/>
      <c r="Q653" s="105"/>
      <c r="R653" s="105"/>
    </row>
    <row r="654" ht="14.25" customHeight="1">
      <c r="P654" s="105"/>
      <c r="Q654" s="105"/>
      <c r="R654" s="105"/>
    </row>
    <row r="655" ht="14.25" customHeight="1">
      <c r="P655" s="105"/>
      <c r="Q655" s="105"/>
      <c r="R655" s="105"/>
    </row>
    <row r="656" ht="14.25" customHeight="1">
      <c r="P656" s="105"/>
      <c r="Q656" s="105"/>
      <c r="R656" s="105"/>
    </row>
    <row r="657" ht="14.25" customHeight="1">
      <c r="P657" s="105"/>
      <c r="Q657" s="105"/>
      <c r="R657" s="105"/>
    </row>
    <row r="658" ht="14.25" customHeight="1">
      <c r="P658" s="105"/>
      <c r="Q658" s="105"/>
      <c r="R658" s="105"/>
    </row>
    <row r="659" ht="14.25" customHeight="1">
      <c r="P659" s="105"/>
      <c r="Q659" s="105"/>
      <c r="R659" s="105"/>
    </row>
    <row r="660" ht="14.25" customHeight="1">
      <c r="P660" s="105"/>
      <c r="Q660" s="105"/>
      <c r="R660" s="105"/>
    </row>
    <row r="661" ht="14.25" customHeight="1">
      <c r="P661" s="105"/>
      <c r="Q661" s="105"/>
      <c r="R661" s="105"/>
    </row>
    <row r="662" ht="14.25" customHeight="1">
      <c r="P662" s="105"/>
      <c r="Q662" s="105"/>
      <c r="R662" s="105"/>
    </row>
    <row r="663" ht="14.25" customHeight="1">
      <c r="P663" s="105"/>
      <c r="Q663" s="105"/>
      <c r="R663" s="105"/>
    </row>
    <row r="664" ht="14.25" customHeight="1">
      <c r="P664" s="105"/>
      <c r="Q664" s="105"/>
      <c r="R664" s="105"/>
    </row>
    <row r="665" ht="14.25" customHeight="1">
      <c r="P665" s="105"/>
      <c r="Q665" s="105"/>
      <c r="R665" s="105"/>
    </row>
    <row r="666" ht="14.25" customHeight="1">
      <c r="P666" s="105"/>
      <c r="Q666" s="105"/>
      <c r="R666" s="105"/>
    </row>
    <row r="667" ht="14.25" customHeight="1">
      <c r="P667" s="105"/>
      <c r="Q667" s="105"/>
      <c r="R667" s="105"/>
    </row>
    <row r="668" ht="14.25" customHeight="1">
      <c r="P668" s="105"/>
      <c r="Q668" s="105"/>
      <c r="R668" s="105"/>
    </row>
    <row r="669" ht="14.25" customHeight="1">
      <c r="P669" s="105"/>
      <c r="Q669" s="105"/>
      <c r="R669" s="105"/>
    </row>
    <row r="670" ht="14.25" customHeight="1">
      <c r="P670" s="105"/>
      <c r="Q670" s="105"/>
      <c r="R670" s="105"/>
    </row>
    <row r="671" ht="14.25" customHeight="1">
      <c r="P671" s="105"/>
      <c r="Q671" s="105"/>
      <c r="R671" s="105"/>
    </row>
    <row r="672" ht="14.25" customHeight="1">
      <c r="P672" s="105"/>
      <c r="Q672" s="105"/>
      <c r="R672" s="105"/>
    </row>
    <row r="673" ht="14.25" customHeight="1">
      <c r="P673" s="105"/>
      <c r="Q673" s="105"/>
      <c r="R673" s="105"/>
    </row>
    <row r="674" ht="14.25" customHeight="1">
      <c r="P674" s="105"/>
      <c r="Q674" s="105"/>
      <c r="R674" s="105"/>
    </row>
    <row r="675" ht="14.25" customHeight="1">
      <c r="P675" s="105"/>
      <c r="Q675" s="105"/>
      <c r="R675" s="105"/>
    </row>
    <row r="676" ht="14.25" customHeight="1">
      <c r="P676" s="105"/>
      <c r="Q676" s="105"/>
      <c r="R676" s="105"/>
    </row>
    <row r="677" ht="14.25" customHeight="1">
      <c r="P677" s="105"/>
      <c r="Q677" s="105"/>
      <c r="R677" s="105"/>
    </row>
    <row r="678" ht="14.25" customHeight="1">
      <c r="P678" s="105"/>
      <c r="Q678" s="105"/>
      <c r="R678" s="105"/>
    </row>
    <row r="679" ht="14.25" customHeight="1">
      <c r="P679" s="105"/>
      <c r="Q679" s="105"/>
      <c r="R679" s="105"/>
    </row>
    <row r="680" ht="14.25" customHeight="1">
      <c r="P680" s="105"/>
      <c r="Q680" s="105"/>
      <c r="R680" s="105"/>
    </row>
    <row r="681" ht="14.25" customHeight="1">
      <c r="P681" s="105"/>
      <c r="Q681" s="105"/>
      <c r="R681" s="105"/>
    </row>
    <row r="682" ht="14.25" customHeight="1">
      <c r="P682" s="105"/>
      <c r="Q682" s="105"/>
      <c r="R682" s="105"/>
    </row>
    <row r="683" ht="14.25" customHeight="1">
      <c r="P683" s="105"/>
      <c r="Q683" s="105"/>
      <c r="R683" s="105"/>
    </row>
    <row r="684" ht="14.25" customHeight="1">
      <c r="P684" s="105"/>
      <c r="Q684" s="105"/>
      <c r="R684" s="105"/>
    </row>
    <row r="685" ht="14.25" customHeight="1">
      <c r="P685" s="105"/>
      <c r="Q685" s="105"/>
      <c r="R685" s="105"/>
    </row>
    <row r="686" ht="14.25" customHeight="1">
      <c r="P686" s="105"/>
      <c r="Q686" s="105"/>
      <c r="R686" s="105"/>
    </row>
    <row r="687" ht="14.25" customHeight="1">
      <c r="P687" s="105"/>
      <c r="Q687" s="105"/>
      <c r="R687" s="105"/>
    </row>
    <row r="688" ht="14.25" customHeight="1">
      <c r="P688" s="105"/>
      <c r="Q688" s="105"/>
      <c r="R688" s="105"/>
    </row>
    <row r="689" ht="14.25" customHeight="1">
      <c r="P689" s="105"/>
      <c r="Q689" s="105"/>
      <c r="R689" s="105"/>
    </row>
    <row r="690" ht="14.25" customHeight="1">
      <c r="P690" s="105"/>
      <c r="Q690" s="105"/>
      <c r="R690" s="105"/>
    </row>
    <row r="691" ht="14.25" customHeight="1">
      <c r="P691" s="105"/>
      <c r="Q691" s="105"/>
      <c r="R691" s="105"/>
    </row>
    <row r="692" ht="14.25" customHeight="1">
      <c r="P692" s="105"/>
      <c r="Q692" s="105"/>
      <c r="R692" s="105"/>
    </row>
    <row r="693" ht="14.25" customHeight="1">
      <c r="P693" s="105"/>
      <c r="Q693" s="105"/>
      <c r="R693" s="105"/>
    </row>
    <row r="694" ht="14.25" customHeight="1">
      <c r="P694" s="105"/>
      <c r="Q694" s="105"/>
      <c r="R694" s="105"/>
    </row>
    <row r="695" ht="14.25" customHeight="1">
      <c r="P695" s="105"/>
      <c r="Q695" s="105"/>
      <c r="R695" s="105"/>
    </row>
    <row r="696" ht="14.25" customHeight="1">
      <c r="P696" s="105"/>
      <c r="Q696" s="105"/>
      <c r="R696" s="105"/>
    </row>
    <row r="697" ht="14.25" customHeight="1">
      <c r="P697" s="105"/>
      <c r="Q697" s="105"/>
      <c r="R697" s="105"/>
    </row>
    <row r="698" ht="14.25" customHeight="1">
      <c r="P698" s="105"/>
      <c r="Q698" s="105"/>
      <c r="R698" s="105"/>
    </row>
    <row r="699" ht="14.25" customHeight="1">
      <c r="P699" s="105"/>
      <c r="Q699" s="105"/>
      <c r="R699" s="105"/>
    </row>
    <row r="700" ht="14.25" customHeight="1">
      <c r="P700" s="105"/>
      <c r="Q700" s="105"/>
      <c r="R700" s="105"/>
    </row>
    <row r="701" ht="14.25" customHeight="1">
      <c r="P701" s="105"/>
      <c r="Q701" s="105"/>
      <c r="R701" s="105"/>
    </row>
    <row r="702" ht="14.25" customHeight="1">
      <c r="P702" s="105"/>
      <c r="Q702" s="105"/>
      <c r="R702" s="105"/>
    </row>
    <row r="703" ht="14.25" customHeight="1">
      <c r="P703" s="105"/>
      <c r="Q703" s="105"/>
      <c r="R703" s="105"/>
    </row>
    <row r="704" ht="14.25" customHeight="1">
      <c r="P704" s="105"/>
      <c r="Q704" s="105"/>
      <c r="R704" s="105"/>
    </row>
    <row r="705" ht="14.25" customHeight="1">
      <c r="P705" s="105"/>
      <c r="Q705" s="105"/>
      <c r="R705" s="105"/>
    </row>
    <row r="706" ht="14.25" customHeight="1">
      <c r="P706" s="105"/>
      <c r="Q706" s="105"/>
      <c r="R706" s="105"/>
    </row>
    <row r="707" ht="14.25" customHeight="1">
      <c r="P707" s="105"/>
      <c r="Q707" s="105"/>
      <c r="R707" s="105"/>
    </row>
    <row r="708" ht="14.25" customHeight="1">
      <c r="P708" s="105"/>
      <c r="Q708" s="105"/>
      <c r="R708" s="105"/>
    </row>
    <row r="709" ht="14.25" customHeight="1">
      <c r="P709" s="105"/>
      <c r="Q709" s="105"/>
      <c r="R709" s="105"/>
    </row>
    <row r="710" ht="14.25" customHeight="1">
      <c r="P710" s="105"/>
      <c r="Q710" s="105"/>
      <c r="R710" s="105"/>
    </row>
    <row r="711" ht="14.25" customHeight="1">
      <c r="P711" s="105"/>
      <c r="Q711" s="105"/>
      <c r="R711" s="105"/>
    </row>
    <row r="712" ht="14.25" customHeight="1">
      <c r="P712" s="105"/>
      <c r="Q712" s="105"/>
      <c r="R712" s="105"/>
    </row>
    <row r="713" ht="14.25" customHeight="1">
      <c r="P713" s="105"/>
      <c r="Q713" s="105"/>
      <c r="R713" s="105"/>
    </row>
    <row r="714" ht="14.25" customHeight="1">
      <c r="P714" s="105"/>
      <c r="Q714" s="105"/>
      <c r="R714" s="105"/>
    </row>
    <row r="715" ht="14.25" customHeight="1">
      <c r="P715" s="105"/>
      <c r="Q715" s="105"/>
      <c r="R715" s="105"/>
    </row>
    <row r="716" ht="14.25" customHeight="1">
      <c r="P716" s="105"/>
      <c r="Q716" s="105"/>
      <c r="R716" s="105"/>
    </row>
    <row r="717" ht="14.25" customHeight="1">
      <c r="P717" s="105"/>
      <c r="Q717" s="105"/>
      <c r="R717" s="105"/>
    </row>
    <row r="718" ht="14.25" customHeight="1">
      <c r="P718" s="105"/>
      <c r="Q718" s="105"/>
      <c r="R718" s="105"/>
    </row>
    <row r="719" ht="14.25" customHeight="1">
      <c r="P719" s="105"/>
      <c r="Q719" s="105"/>
      <c r="R719" s="105"/>
    </row>
    <row r="720" ht="14.25" customHeight="1">
      <c r="P720" s="105"/>
      <c r="Q720" s="105"/>
      <c r="R720" s="105"/>
    </row>
    <row r="721" ht="14.25" customHeight="1">
      <c r="P721" s="105"/>
      <c r="Q721" s="105"/>
      <c r="R721" s="105"/>
    </row>
    <row r="722" ht="14.25" customHeight="1">
      <c r="P722" s="105"/>
      <c r="Q722" s="105"/>
      <c r="R722" s="105"/>
    </row>
    <row r="723" ht="14.25" customHeight="1">
      <c r="P723" s="105"/>
      <c r="Q723" s="105"/>
      <c r="R723" s="105"/>
    </row>
    <row r="724" ht="14.25" customHeight="1">
      <c r="P724" s="105"/>
      <c r="Q724" s="105"/>
      <c r="R724" s="105"/>
    </row>
    <row r="725" ht="14.25" customHeight="1">
      <c r="P725" s="105"/>
      <c r="Q725" s="105"/>
      <c r="R725" s="105"/>
    </row>
    <row r="726" ht="14.25" customHeight="1">
      <c r="P726" s="105"/>
      <c r="Q726" s="105"/>
      <c r="R726" s="105"/>
    </row>
    <row r="727" ht="14.25" customHeight="1">
      <c r="P727" s="105"/>
      <c r="Q727" s="105"/>
      <c r="R727" s="105"/>
    </row>
    <row r="728" ht="14.25" customHeight="1">
      <c r="P728" s="105"/>
      <c r="Q728" s="105"/>
      <c r="R728" s="105"/>
    </row>
    <row r="729" ht="14.25" customHeight="1">
      <c r="P729" s="105"/>
      <c r="Q729" s="105"/>
      <c r="R729" s="105"/>
    </row>
    <row r="730" ht="14.25" customHeight="1">
      <c r="P730" s="105"/>
      <c r="Q730" s="105"/>
      <c r="R730" s="105"/>
    </row>
    <row r="731" ht="14.25" customHeight="1">
      <c r="P731" s="105"/>
      <c r="Q731" s="105"/>
      <c r="R731" s="105"/>
    </row>
    <row r="732" ht="14.25" customHeight="1">
      <c r="P732" s="105"/>
      <c r="Q732" s="105"/>
      <c r="R732" s="105"/>
    </row>
    <row r="733" ht="14.25" customHeight="1">
      <c r="P733" s="105"/>
      <c r="Q733" s="105"/>
      <c r="R733" s="105"/>
    </row>
    <row r="734" ht="14.25" customHeight="1">
      <c r="P734" s="105"/>
      <c r="Q734" s="105"/>
      <c r="R734" s="105"/>
    </row>
    <row r="735" ht="14.25" customHeight="1">
      <c r="P735" s="105"/>
      <c r="Q735" s="105"/>
      <c r="R735" s="105"/>
    </row>
    <row r="736" ht="14.25" customHeight="1">
      <c r="P736" s="105"/>
      <c r="Q736" s="105"/>
      <c r="R736" s="105"/>
    </row>
    <row r="737" ht="14.25" customHeight="1">
      <c r="P737" s="105"/>
      <c r="Q737" s="105"/>
      <c r="R737" s="105"/>
    </row>
    <row r="738" ht="14.25" customHeight="1">
      <c r="P738" s="105"/>
      <c r="Q738" s="105"/>
      <c r="R738" s="105"/>
    </row>
    <row r="739" ht="14.25" customHeight="1">
      <c r="P739" s="105"/>
      <c r="Q739" s="105"/>
      <c r="R739" s="105"/>
    </row>
    <row r="740" ht="14.25" customHeight="1">
      <c r="P740" s="105"/>
      <c r="Q740" s="105"/>
      <c r="R740" s="105"/>
    </row>
    <row r="741" ht="14.25" customHeight="1">
      <c r="P741" s="105"/>
      <c r="Q741" s="105"/>
      <c r="R741" s="105"/>
    </row>
    <row r="742" ht="14.25" customHeight="1">
      <c r="P742" s="105"/>
      <c r="Q742" s="105"/>
      <c r="R742" s="105"/>
    </row>
    <row r="743" ht="14.25" customHeight="1">
      <c r="P743" s="105"/>
      <c r="Q743" s="105"/>
      <c r="R743" s="105"/>
    </row>
    <row r="744" ht="14.25" customHeight="1">
      <c r="P744" s="105"/>
      <c r="Q744" s="105"/>
      <c r="R744" s="105"/>
    </row>
    <row r="745" ht="14.25" customHeight="1">
      <c r="P745" s="105"/>
      <c r="Q745" s="105"/>
      <c r="R745" s="105"/>
    </row>
    <row r="746" ht="14.25" customHeight="1">
      <c r="P746" s="105"/>
      <c r="Q746" s="105"/>
      <c r="R746" s="105"/>
    </row>
    <row r="747" ht="14.25" customHeight="1">
      <c r="P747" s="105"/>
      <c r="Q747" s="105"/>
      <c r="R747" s="105"/>
    </row>
    <row r="748" ht="14.25" customHeight="1">
      <c r="P748" s="105"/>
      <c r="Q748" s="105"/>
      <c r="R748" s="105"/>
    </row>
    <row r="749" ht="14.25" customHeight="1">
      <c r="P749" s="105"/>
      <c r="Q749" s="105"/>
      <c r="R749" s="105"/>
    </row>
    <row r="750" ht="14.25" customHeight="1">
      <c r="P750" s="105"/>
      <c r="Q750" s="105"/>
      <c r="R750" s="105"/>
    </row>
    <row r="751" ht="14.25" customHeight="1">
      <c r="P751" s="105"/>
      <c r="Q751" s="105"/>
      <c r="R751" s="105"/>
    </row>
    <row r="752" ht="14.25" customHeight="1">
      <c r="P752" s="105"/>
      <c r="Q752" s="105"/>
      <c r="R752" s="105"/>
    </row>
    <row r="753" ht="14.25" customHeight="1">
      <c r="P753" s="105"/>
      <c r="Q753" s="105"/>
      <c r="R753" s="105"/>
    </row>
    <row r="754" ht="14.25" customHeight="1">
      <c r="P754" s="105"/>
      <c r="Q754" s="105"/>
      <c r="R754" s="105"/>
    </row>
    <row r="755" ht="14.25" customHeight="1">
      <c r="P755" s="105"/>
      <c r="Q755" s="105"/>
      <c r="R755" s="105"/>
    </row>
    <row r="756" ht="14.25" customHeight="1">
      <c r="P756" s="105"/>
      <c r="Q756" s="105"/>
      <c r="R756" s="105"/>
    </row>
    <row r="757" ht="14.25" customHeight="1">
      <c r="P757" s="105"/>
      <c r="Q757" s="105"/>
      <c r="R757" s="105"/>
    </row>
    <row r="758" ht="14.25" customHeight="1">
      <c r="P758" s="105"/>
      <c r="Q758" s="105"/>
      <c r="R758" s="105"/>
    </row>
    <row r="759" ht="14.25" customHeight="1">
      <c r="P759" s="105"/>
      <c r="Q759" s="105"/>
      <c r="R759" s="105"/>
    </row>
    <row r="760" ht="14.25" customHeight="1">
      <c r="P760" s="105"/>
      <c r="Q760" s="105"/>
      <c r="R760" s="105"/>
    </row>
    <row r="761" ht="14.25" customHeight="1">
      <c r="P761" s="105"/>
      <c r="Q761" s="105"/>
      <c r="R761" s="105"/>
    </row>
    <row r="762" ht="14.25" customHeight="1">
      <c r="P762" s="105"/>
      <c r="Q762" s="105"/>
      <c r="R762" s="105"/>
    </row>
    <row r="763" ht="14.25" customHeight="1">
      <c r="P763" s="105"/>
      <c r="Q763" s="105"/>
      <c r="R763" s="105"/>
    </row>
    <row r="764" ht="14.25" customHeight="1">
      <c r="P764" s="105"/>
      <c r="Q764" s="105"/>
      <c r="R764" s="105"/>
    </row>
    <row r="765" ht="14.25" customHeight="1">
      <c r="P765" s="105"/>
      <c r="Q765" s="105"/>
      <c r="R765" s="105"/>
    </row>
    <row r="766" ht="14.25" customHeight="1">
      <c r="P766" s="105"/>
      <c r="Q766" s="105"/>
      <c r="R766" s="105"/>
    </row>
    <row r="767" ht="14.25" customHeight="1">
      <c r="P767" s="105"/>
      <c r="Q767" s="105"/>
      <c r="R767" s="105"/>
    </row>
    <row r="768" ht="14.25" customHeight="1">
      <c r="P768" s="105"/>
      <c r="Q768" s="105"/>
      <c r="R768" s="105"/>
    </row>
    <row r="769" ht="14.25" customHeight="1">
      <c r="P769" s="105"/>
      <c r="Q769" s="105"/>
      <c r="R769" s="105"/>
    </row>
    <row r="770" ht="14.25" customHeight="1">
      <c r="P770" s="105"/>
      <c r="Q770" s="105"/>
      <c r="R770" s="105"/>
    </row>
    <row r="771" ht="14.25" customHeight="1">
      <c r="P771" s="105"/>
      <c r="Q771" s="105"/>
      <c r="R771" s="105"/>
    </row>
    <row r="772" ht="14.25" customHeight="1">
      <c r="P772" s="105"/>
      <c r="Q772" s="105"/>
      <c r="R772" s="105"/>
    </row>
    <row r="773" ht="14.25" customHeight="1">
      <c r="P773" s="105"/>
      <c r="Q773" s="105"/>
      <c r="R773" s="105"/>
    </row>
    <row r="774" ht="14.25" customHeight="1">
      <c r="P774" s="105"/>
      <c r="Q774" s="105"/>
      <c r="R774" s="105"/>
    </row>
    <row r="775" ht="14.25" customHeight="1">
      <c r="P775" s="105"/>
      <c r="Q775" s="105"/>
      <c r="R775" s="105"/>
    </row>
    <row r="776" ht="14.25" customHeight="1">
      <c r="P776" s="105"/>
      <c r="Q776" s="105"/>
      <c r="R776" s="105"/>
    </row>
    <row r="777" ht="14.25" customHeight="1">
      <c r="P777" s="105"/>
      <c r="Q777" s="105"/>
      <c r="R777" s="105"/>
    </row>
    <row r="778" ht="14.25" customHeight="1">
      <c r="P778" s="105"/>
      <c r="Q778" s="105"/>
      <c r="R778" s="105"/>
    </row>
    <row r="779" ht="14.25" customHeight="1">
      <c r="P779" s="105"/>
      <c r="Q779" s="105"/>
      <c r="R779" s="105"/>
    </row>
    <row r="780" ht="14.25" customHeight="1">
      <c r="P780" s="105"/>
      <c r="Q780" s="105"/>
      <c r="R780" s="105"/>
    </row>
    <row r="781" ht="14.25" customHeight="1">
      <c r="P781" s="105"/>
      <c r="Q781" s="105"/>
      <c r="R781" s="105"/>
    </row>
    <row r="782" ht="14.25" customHeight="1">
      <c r="P782" s="105"/>
      <c r="Q782" s="105"/>
      <c r="R782" s="105"/>
    </row>
    <row r="783" ht="14.25" customHeight="1">
      <c r="P783" s="105"/>
      <c r="Q783" s="105"/>
      <c r="R783" s="105"/>
    </row>
    <row r="784" ht="14.25" customHeight="1">
      <c r="P784" s="105"/>
      <c r="Q784" s="105"/>
      <c r="R784" s="105"/>
    </row>
    <row r="785" ht="14.25" customHeight="1">
      <c r="P785" s="105"/>
      <c r="Q785" s="105"/>
      <c r="R785" s="105"/>
    </row>
    <row r="786" ht="14.25" customHeight="1">
      <c r="P786" s="105"/>
      <c r="Q786" s="105"/>
      <c r="R786" s="105"/>
    </row>
    <row r="787" ht="14.25" customHeight="1">
      <c r="P787" s="105"/>
      <c r="Q787" s="105"/>
      <c r="R787" s="105"/>
    </row>
    <row r="788" ht="14.25" customHeight="1">
      <c r="P788" s="105"/>
      <c r="Q788" s="105"/>
      <c r="R788" s="105"/>
    </row>
    <row r="789" ht="14.25" customHeight="1">
      <c r="P789" s="105"/>
      <c r="Q789" s="105"/>
      <c r="R789" s="105"/>
    </row>
    <row r="790" ht="14.25" customHeight="1">
      <c r="P790" s="105"/>
      <c r="Q790" s="105"/>
      <c r="R790" s="105"/>
    </row>
    <row r="791" ht="14.25" customHeight="1">
      <c r="P791" s="105"/>
      <c r="Q791" s="105"/>
      <c r="R791" s="105"/>
    </row>
    <row r="792" ht="14.25" customHeight="1">
      <c r="P792" s="105"/>
      <c r="Q792" s="105"/>
      <c r="R792" s="105"/>
    </row>
    <row r="793" ht="14.25" customHeight="1">
      <c r="P793" s="105"/>
      <c r="Q793" s="105"/>
      <c r="R793" s="105"/>
    </row>
    <row r="794" ht="14.25" customHeight="1">
      <c r="P794" s="105"/>
      <c r="Q794" s="105"/>
      <c r="R794" s="105"/>
    </row>
    <row r="795" ht="14.25" customHeight="1">
      <c r="P795" s="105"/>
      <c r="Q795" s="105"/>
      <c r="R795" s="105"/>
    </row>
    <row r="796" ht="14.25" customHeight="1">
      <c r="P796" s="105"/>
      <c r="Q796" s="105"/>
      <c r="R796" s="105"/>
    </row>
    <row r="797" ht="14.25" customHeight="1">
      <c r="P797" s="105"/>
      <c r="Q797" s="105"/>
      <c r="R797" s="105"/>
    </row>
    <row r="798" ht="14.25" customHeight="1">
      <c r="P798" s="105"/>
      <c r="Q798" s="105"/>
      <c r="R798" s="105"/>
    </row>
    <row r="799" ht="14.25" customHeight="1">
      <c r="P799" s="105"/>
      <c r="Q799" s="105"/>
      <c r="R799" s="105"/>
    </row>
    <row r="800" ht="14.25" customHeight="1">
      <c r="P800" s="105"/>
      <c r="Q800" s="105"/>
      <c r="R800" s="105"/>
    </row>
    <row r="801" ht="14.25" customHeight="1">
      <c r="P801" s="105"/>
      <c r="Q801" s="105"/>
      <c r="R801" s="105"/>
    </row>
    <row r="802" ht="14.25" customHeight="1">
      <c r="P802" s="105"/>
      <c r="Q802" s="105"/>
      <c r="R802" s="105"/>
    </row>
    <row r="803" ht="14.25" customHeight="1">
      <c r="P803" s="105"/>
      <c r="Q803" s="105"/>
      <c r="R803" s="105"/>
    </row>
    <row r="804" ht="14.25" customHeight="1">
      <c r="P804" s="105"/>
      <c r="Q804" s="105"/>
      <c r="R804" s="105"/>
    </row>
    <row r="805" ht="14.25" customHeight="1">
      <c r="P805" s="105"/>
      <c r="Q805" s="105"/>
      <c r="R805" s="105"/>
    </row>
    <row r="806" ht="14.25" customHeight="1">
      <c r="P806" s="105"/>
      <c r="Q806" s="105"/>
      <c r="R806" s="105"/>
    </row>
    <row r="807" ht="14.25" customHeight="1">
      <c r="P807" s="105"/>
      <c r="Q807" s="105"/>
      <c r="R807" s="105"/>
    </row>
    <row r="808" ht="14.25" customHeight="1">
      <c r="P808" s="105"/>
      <c r="Q808" s="105"/>
      <c r="R808" s="105"/>
    </row>
    <row r="809" ht="14.25" customHeight="1">
      <c r="P809" s="105"/>
      <c r="Q809" s="105"/>
      <c r="R809" s="105"/>
    </row>
    <row r="810" ht="14.25" customHeight="1">
      <c r="P810" s="105"/>
      <c r="Q810" s="105"/>
      <c r="R810" s="105"/>
    </row>
    <row r="811" ht="14.25" customHeight="1">
      <c r="P811" s="105"/>
      <c r="Q811" s="105"/>
      <c r="R811" s="105"/>
    </row>
    <row r="812" ht="14.25" customHeight="1">
      <c r="P812" s="105"/>
      <c r="Q812" s="105"/>
      <c r="R812" s="105"/>
    </row>
    <row r="813" ht="14.25" customHeight="1">
      <c r="P813" s="105"/>
      <c r="Q813" s="105"/>
      <c r="R813" s="105"/>
    </row>
    <row r="814" ht="14.25" customHeight="1">
      <c r="P814" s="105"/>
      <c r="Q814" s="105"/>
      <c r="R814" s="105"/>
    </row>
    <row r="815" ht="14.25" customHeight="1">
      <c r="P815" s="105"/>
      <c r="Q815" s="105"/>
      <c r="R815" s="105"/>
    </row>
    <row r="816" ht="14.25" customHeight="1">
      <c r="P816" s="105"/>
      <c r="Q816" s="105"/>
      <c r="R816" s="105"/>
    </row>
    <row r="817" ht="14.25" customHeight="1">
      <c r="P817" s="105"/>
      <c r="Q817" s="105"/>
      <c r="R817" s="105"/>
    </row>
    <row r="818" ht="14.25" customHeight="1">
      <c r="P818" s="105"/>
      <c r="Q818" s="105"/>
      <c r="R818" s="105"/>
    </row>
    <row r="819" ht="14.25" customHeight="1">
      <c r="P819" s="105"/>
      <c r="Q819" s="105"/>
      <c r="R819" s="105"/>
    </row>
    <row r="820" ht="14.25" customHeight="1">
      <c r="P820" s="105"/>
      <c r="Q820" s="105"/>
      <c r="R820" s="105"/>
    </row>
    <row r="821" ht="14.25" customHeight="1">
      <c r="P821" s="105"/>
      <c r="Q821" s="105"/>
      <c r="R821" s="105"/>
    </row>
    <row r="822" ht="14.25" customHeight="1">
      <c r="P822" s="105"/>
      <c r="Q822" s="105"/>
      <c r="R822" s="105"/>
    </row>
    <row r="823" ht="14.25" customHeight="1">
      <c r="P823" s="105"/>
      <c r="Q823" s="105"/>
      <c r="R823" s="105"/>
    </row>
    <row r="824" ht="14.25" customHeight="1">
      <c r="P824" s="105"/>
      <c r="Q824" s="105"/>
      <c r="R824" s="105"/>
    </row>
    <row r="825" ht="14.25" customHeight="1">
      <c r="P825" s="105"/>
      <c r="Q825" s="105"/>
      <c r="R825" s="105"/>
    </row>
    <row r="826" ht="14.25" customHeight="1">
      <c r="P826" s="105"/>
      <c r="Q826" s="105"/>
      <c r="R826" s="105"/>
    </row>
    <row r="827" ht="14.25" customHeight="1">
      <c r="P827" s="105"/>
      <c r="Q827" s="105"/>
      <c r="R827" s="105"/>
    </row>
    <row r="828" ht="14.25" customHeight="1">
      <c r="P828" s="105"/>
      <c r="Q828" s="105"/>
      <c r="R828" s="105"/>
    </row>
    <row r="829" ht="14.25" customHeight="1">
      <c r="P829" s="105"/>
      <c r="Q829" s="105"/>
      <c r="R829" s="105"/>
    </row>
    <row r="830" ht="14.25" customHeight="1">
      <c r="P830" s="105"/>
      <c r="Q830" s="105"/>
      <c r="R830" s="105"/>
    </row>
    <row r="831" ht="14.25" customHeight="1">
      <c r="P831" s="105"/>
      <c r="Q831" s="105"/>
      <c r="R831" s="105"/>
    </row>
    <row r="832" ht="14.25" customHeight="1">
      <c r="P832" s="105"/>
      <c r="Q832" s="105"/>
      <c r="R832" s="105"/>
    </row>
    <row r="833" ht="14.25" customHeight="1">
      <c r="P833" s="105"/>
      <c r="Q833" s="105"/>
      <c r="R833" s="105"/>
    </row>
    <row r="834" ht="14.25" customHeight="1">
      <c r="P834" s="105"/>
      <c r="Q834" s="105"/>
      <c r="R834" s="105"/>
    </row>
    <row r="835" ht="14.25" customHeight="1">
      <c r="P835" s="105"/>
      <c r="Q835" s="105"/>
      <c r="R835" s="105"/>
    </row>
    <row r="836" ht="14.25" customHeight="1">
      <c r="P836" s="105"/>
      <c r="Q836" s="105"/>
      <c r="R836" s="105"/>
    </row>
    <row r="837" ht="14.25" customHeight="1">
      <c r="P837" s="105"/>
      <c r="Q837" s="105"/>
      <c r="R837" s="105"/>
    </row>
    <row r="838" ht="14.25" customHeight="1">
      <c r="P838" s="105"/>
      <c r="Q838" s="105"/>
      <c r="R838" s="105"/>
    </row>
    <row r="839" ht="14.25" customHeight="1">
      <c r="P839" s="105"/>
      <c r="Q839" s="105"/>
      <c r="R839" s="105"/>
    </row>
    <row r="840" ht="14.25" customHeight="1">
      <c r="P840" s="105"/>
      <c r="Q840" s="105"/>
      <c r="R840" s="105"/>
    </row>
    <row r="841" ht="14.25" customHeight="1">
      <c r="P841" s="105"/>
      <c r="Q841" s="105"/>
      <c r="R841" s="105"/>
    </row>
    <row r="842" ht="14.25" customHeight="1">
      <c r="P842" s="105"/>
      <c r="Q842" s="105"/>
      <c r="R842" s="105"/>
    </row>
    <row r="843" ht="14.25" customHeight="1">
      <c r="P843" s="105"/>
      <c r="Q843" s="105"/>
      <c r="R843" s="105"/>
    </row>
    <row r="844" ht="14.25" customHeight="1">
      <c r="P844" s="105"/>
      <c r="Q844" s="105"/>
      <c r="R844" s="105"/>
    </row>
    <row r="845" ht="14.25" customHeight="1">
      <c r="P845" s="105"/>
      <c r="Q845" s="105"/>
      <c r="R845" s="105"/>
    </row>
    <row r="846" ht="14.25" customHeight="1">
      <c r="P846" s="105"/>
      <c r="Q846" s="105"/>
      <c r="R846" s="105"/>
    </row>
    <row r="847" ht="14.25" customHeight="1">
      <c r="P847" s="105"/>
      <c r="Q847" s="105"/>
      <c r="R847" s="105"/>
    </row>
    <row r="848" ht="14.25" customHeight="1">
      <c r="P848" s="105"/>
      <c r="Q848" s="105"/>
      <c r="R848" s="105"/>
    </row>
    <row r="849" ht="14.25" customHeight="1">
      <c r="P849" s="105"/>
      <c r="Q849" s="105"/>
      <c r="R849" s="105"/>
    </row>
    <row r="850" ht="14.25" customHeight="1">
      <c r="P850" s="105"/>
      <c r="Q850" s="105"/>
      <c r="R850" s="105"/>
    </row>
    <row r="851" ht="14.25" customHeight="1">
      <c r="P851" s="105"/>
      <c r="Q851" s="105"/>
      <c r="R851" s="105"/>
    </row>
    <row r="852" ht="14.25" customHeight="1">
      <c r="P852" s="105"/>
      <c r="Q852" s="105"/>
      <c r="R852" s="105"/>
    </row>
    <row r="853" ht="14.25" customHeight="1">
      <c r="P853" s="105"/>
      <c r="Q853" s="105"/>
      <c r="R853" s="105"/>
    </row>
    <row r="854" ht="14.25" customHeight="1">
      <c r="P854" s="105"/>
      <c r="Q854" s="105"/>
      <c r="R854" s="105"/>
    </row>
    <row r="855" ht="14.25" customHeight="1">
      <c r="P855" s="105"/>
      <c r="Q855" s="105"/>
      <c r="R855" s="105"/>
    </row>
    <row r="856" ht="14.25" customHeight="1">
      <c r="P856" s="105"/>
      <c r="Q856" s="105"/>
      <c r="R856" s="105"/>
    </row>
    <row r="857" ht="14.25" customHeight="1">
      <c r="P857" s="105"/>
      <c r="Q857" s="105"/>
      <c r="R857" s="105"/>
    </row>
    <row r="858" ht="14.25" customHeight="1">
      <c r="P858" s="105"/>
      <c r="Q858" s="105"/>
      <c r="R858" s="105"/>
    </row>
    <row r="859" ht="14.25" customHeight="1">
      <c r="P859" s="105"/>
      <c r="Q859" s="105"/>
      <c r="R859" s="105"/>
    </row>
    <row r="860" ht="14.25" customHeight="1">
      <c r="P860" s="105"/>
      <c r="Q860" s="105"/>
      <c r="R860" s="105"/>
    </row>
    <row r="861" ht="14.25" customHeight="1">
      <c r="P861" s="105"/>
      <c r="Q861" s="105"/>
      <c r="R861" s="105"/>
    </row>
    <row r="862" ht="14.25" customHeight="1">
      <c r="P862" s="105"/>
      <c r="Q862" s="105"/>
      <c r="R862" s="105"/>
    </row>
    <row r="863" ht="14.25" customHeight="1">
      <c r="P863" s="105"/>
      <c r="Q863" s="105"/>
      <c r="R863" s="105"/>
    </row>
    <row r="864" ht="14.25" customHeight="1">
      <c r="P864" s="105"/>
      <c r="Q864" s="105"/>
      <c r="R864" s="105"/>
    </row>
    <row r="865" ht="14.25" customHeight="1">
      <c r="P865" s="105"/>
      <c r="Q865" s="105"/>
      <c r="R865" s="105"/>
    </row>
    <row r="866" ht="14.25" customHeight="1">
      <c r="P866" s="105"/>
      <c r="Q866" s="105"/>
      <c r="R866" s="105"/>
    </row>
    <row r="867" ht="14.25" customHeight="1">
      <c r="P867" s="105"/>
      <c r="Q867" s="105"/>
      <c r="R867" s="105"/>
    </row>
    <row r="868" ht="14.25" customHeight="1">
      <c r="P868" s="105"/>
      <c r="Q868" s="105"/>
      <c r="R868" s="105"/>
    </row>
    <row r="869" ht="14.25" customHeight="1">
      <c r="P869" s="105"/>
      <c r="Q869" s="105"/>
      <c r="R869" s="105"/>
    </row>
    <row r="870" ht="14.25" customHeight="1">
      <c r="P870" s="105"/>
      <c r="Q870" s="105"/>
      <c r="R870" s="105"/>
    </row>
    <row r="871" ht="14.25" customHeight="1">
      <c r="P871" s="105"/>
      <c r="Q871" s="105"/>
      <c r="R871" s="105"/>
    </row>
    <row r="872" ht="14.25" customHeight="1">
      <c r="P872" s="105"/>
      <c r="Q872" s="105"/>
      <c r="R872" s="105"/>
    </row>
    <row r="873" ht="14.25" customHeight="1">
      <c r="P873" s="105"/>
      <c r="Q873" s="105"/>
      <c r="R873" s="105"/>
    </row>
    <row r="874" ht="14.25" customHeight="1">
      <c r="P874" s="105"/>
      <c r="Q874" s="105"/>
      <c r="R874" s="105"/>
    </row>
    <row r="875" ht="14.25" customHeight="1">
      <c r="P875" s="105"/>
      <c r="Q875" s="105"/>
      <c r="R875" s="105"/>
    </row>
    <row r="876" ht="14.25" customHeight="1">
      <c r="P876" s="105"/>
      <c r="Q876" s="105"/>
      <c r="R876" s="105"/>
    </row>
    <row r="877" ht="14.25" customHeight="1">
      <c r="P877" s="105"/>
      <c r="Q877" s="105"/>
      <c r="R877" s="105"/>
    </row>
    <row r="878" ht="14.25" customHeight="1">
      <c r="P878" s="105"/>
      <c r="Q878" s="105"/>
      <c r="R878" s="105"/>
    </row>
    <row r="879" ht="14.25" customHeight="1">
      <c r="P879" s="105"/>
      <c r="Q879" s="105"/>
      <c r="R879" s="105"/>
    </row>
    <row r="880" ht="14.25" customHeight="1">
      <c r="P880" s="105"/>
      <c r="Q880" s="105"/>
      <c r="R880" s="105"/>
    </row>
    <row r="881" ht="14.25" customHeight="1">
      <c r="P881" s="105"/>
      <c r="Q881" s="105"/>
      <c r="R881" s="105"/>
    </row>
    <row r="882" ht="14.25" customHeight="1">
      <c r="P882" s="105"/>
      <c r="Q882" s="105"/>
      <c r="R882" s="105"/>
    </row>
    <row r="883" ht="14.25" customHeight="1">
      <c r="P883" s="105"/>
      <c r="Q883" s="105"/>
      <c r="R883" s="105"/>
    </row>
    <row r="884" ht="14.25" customHeight="1">
      <c r="P884" s="105"/>
      <c r="Q884" s="105"/>
      <c r="R884" s="105"/>
    </row>
    <row r="885" ht="14.25" customHeight="1">
      <c r="P885" s="105"/>
      <c r="Q885" s="105"/>
      <c r="R885" s="105"/>
    </row>
    <row r="886" ht="14.25" customHeight="1">
      <c r="P886" s="105"/>
      <c r="Q886" s="105"/>
      <c r="R886" s="105"/>
    </row>
    <row r="887" ht="14.25" customHeight="1">
      <c r="P887" s="105"/>
      <c r="Q887" s="105"/>
      <c r="R887" s="105"/>
    </row>
    <row r="888" ht="14.25" customHeight="1">
      <c r="P888" s="105"/>
      <c r="Q888" s="105"/>
      <c r="R888" s="105"/>
    </row>
    <row r="889" ht="14.25" customHeight="1">
      <c r="P889" s="105"/>
      <c r="Q889" s="105"/>
      <c r="R889" s="105"/>
    </row>
    <row r="890" ht="14.25" customHeight="1">
      <c r="P890" s="105"/>
      <c r="Q890" s="105"/>
      <c r="R890" s="105"/>
    </row>
    <row r="891" ht="14.25" customHeight="1">
      <c r="P891" s="105"/>
      <c r="Q891" s="105"/>
      <c r="R891" s="105"/>
    </row>
    <row r="892" ht="14.25" customHeight="1">
      <c r="P892" s="105"/>
      <c r="Q892" s="105"/>
      <c r="R892" s="105"/>
    </row>
    <row r="893" ht="14.25" customHeight="1">
      <c r="P893" s="105"/>
      <c r="Q893" s="105"/>
      <c r="R893" s="105"/>
    </row>
    <row r="894" ht="14.25" customHeight="1">
      <c r="P894" s="105"/>
      <c r="Q894" s="105"/>
      <c r="R894" s="105"/>
    </row>
    <row r="895" ht="14.25" customHeight="1">
      <c r="P895" s="105"/>
      <c r="Q895" s="105"/>
      <c r="R895" s="105"/>
    </row>
    <row r="896" ht="14.25" customHeight="1">
      <c r="P896" s="105"/>
      <c r="Q896" s="105"/>
      <c r="R896" s="105"/>
    </row>
    <row r="897" ht="14.25" customHeight="1">
      <c r="P897" s="105"/>
      <c r="Q897" s="105"/>
      <c r="R897" s="105"/>
    </row>
    <row r="898" ht="14.25" customHeight="1">
      <c r="P898" s="105"/>
      <c r="Q898" s="105"/>
      <c r="R898" s="105"/>
    </row>
    <row r="899" ht="14.25" customHeight="1">
      <c r="P899" s="105"/>
      <c r="Q899" s="105"/>
      <c r="R899" s="105"/>
    </row>
    <row r="900" ht="14.25" customHeight="1">
      <c r="P900" s="105"/>
      <c r="Q900" s="105"/>
      <c r="R900" s="105"/>
    </row>
    <row r="901" ht="14.25" customHeight="1">
      <c r="P901" s="105"/>
      <c r="Q901" s="105"/>
      <c r="R901" s="105"/>
    </row>
    <row r="902" ht="14.25" customHeight="1">
      <c r="P902" s="105"/>
      <c r="Q902" s="105"/>
      <c r="R902" s="105"/>
    </row>
    <row r="903" ht="14.25" customHeight="1">
      <c r="P903" s="105"/>
      <c r="Q903" s="105"/>
      <c r="R903" s="105"/>
    </row>
    <row r="904" ht="14.25" customHeight="1">
      <c r="P904" s="105"/>
      <c r="Q904" s="105"/>
      <c r="R904" s="105"/>
    </row>
    <row r="905" ht="14.25" customHeight="1">
      <c r="P905" s="105"/>
      <c r="Q905" s="105"/>
      <c r="R905" s="105"/>
    </row>
    <row r="906" ht="14.25" customHeight="1">
      <c r="P906" s="105"/>
      <c r="Q906" s="105"/>
      <c r="R906" s="105"/>
    </row>
    <row r="907" ht="14.25" customHeight="1">
      <c r="P907" s="105"/>
      <c r="Q907" s="105"/>
      <c r="R907" s="105"/>
    </row>
    <row r="908" ht="14.25" customHeight="1">
      <c r="P908" s="105"/>
      <c r="Q908" s="105"/>
      <c r="R908" s="105"/>
    </row>
    <row r="909" ht="14.25" customHeight="1">
      <c r="P909" s="105"/>
      <c r="Q909" s="105"/>
      <c r="R909" s="105"/>
    </row>
    <row r="910" ht="14.25" customHeight="1">
      <c r="P910" s="105"/>
      <c r="Q910" s="105"/>
      <c r="R910" s="105"/>
    </row>
    <row r="911" ht="14.25" customHeight="1">
      <c r="P911" s="105"/>
      <c r="Q911" s="105"/>
      <c r="R911" s="105"/>
    </row>
    <row r="912" ht="14.25" customHeight="1">
      <c r="P912" s="105"/>
      <c r="Q912" s="105"/>
      <c r="R912" s="105"/>
    </row>
    <row r="913" ht="14.25" customHeight="1">
      <c r="P913" s="105"/>
      <c r="Q913" s="105"/>
      <c r="R913" s="105"/>
    </row>
    <row r="914" ht="14.25" customHeight="1">
      <c r="P914" s="105"/>
      <c r="Q914" s="105"/>
      <c r="R914" s="105"/>
    </row>
    <row r="915" ht="14.25" customHeight="1">
      <c r="P915" s="105"/>
      <c r="Q915" s="105"/>
      <c r="R915" s="105"/>
    </row>
    <row r="916" ht="14.25" customHeight="1">
      <c r="P916" s="105"/>
      <c r="Q916" s="105"/>
      <c r="R916" s="105"/>
    </row>
    <row r="917" ht="14.25" customHeight="1">
      <c r="P917" s="105"/>
      <c r="Q917" s="105"/>
      <c r="R917" s="105"/>
    </row>
    <row r="918" ht="14.25" customHeight="1">
      <c r="P918" s="105"/>
      <c r="Q918" s="105"/>
      <c r="R918" s="105"/>
    </row>
    <row r="919" ht="14.25" customHeight="1">
      <c r="P919" s="105"/>
      <c r="Q919" s="105"/>
      <c r="R919" s="105"/>
    </row>
    <row r="920" ht="14.25" customHeight="1">
      <c r="P920" s="105"/>
      <c r="Q920" s="105"/>
      <c r="R920" s="105"/>
    </row>
    <row r="921" ht="14.25" customHeight="1">
      <c r="P921" s="105"/>
      <c r="Q921" s="105"/>
      <c r="R921" s="105"/>
    </row>
    <row r="922" ht="14.25" customHeight="1">
      <c r="P922" s="105"/>
      <c r="Q922" s="105"/>
      <c r="R922" s="105"/>
    </row>
    <row r="923" ht="14.25" customHeight="1">
      <c r="P923" s="105"/>
      <c r="Q923" s="105"/>
      <c r="R923" s="105"/>
    </row>
    <row r="924" ht="14.25" customHeight="1">
      <c r="P924" s="105"/>
      <c r="Q924" s="105"/>
      <c r="R924" s="105"/>
    </row>
    <row r="925" ht="14.25" customHeight="1">
      <c r="P925" s="105"/>
      <c r="Q925" s="105"/>
      <c r="R925" s="105"/>
    </row>
    <row r="926" ht="14.25" customHeight="1">
      <c r="P926" s="105"/>
      <c r="Q926" s="105"/>
      <c r="R926" s="105"/>
    </row>
    <row r="927" ht="14.25" customHeight="1">
      <c r="P927" s="105"/>
      <c r="Q927" s="105"/>
      <c r="R927" s="105"/>
    </row>
    <row r="928" ht="14.25" customHeight="1">
      <c r="P928" s="105"/>
      <c r="Q928" s="105"/>
      <c r="R928" s="105"/>
    </row>
    <row r="929" ht="14.25" customHeight="1">
      <c r="P929" s="105"/>
      <c r="Q929" s="105"/>
      <c r="R929" s="105"/>
    </row>
    <row r="930" ht="14.25" customHeight="1">
      <c r="P930" s="105"/>
      <c r="Q930" s="105"/>
      <c r="R930" s="105"/>
    </row>
    <row r="931" ht="14.25" customHeight="1">
      <c r="P931" s="105"/>
      <c r="Q931" s="105"/>
      <c r="R931" s="105"/>
    </row>
    <row r="932" ht="14.25" customHeight="1">
      <c r="P932" s="105"/>
      <c r="Q932" s="105"/>
      <c r="R932" s="105"/>
    </row>
    <row r="933" ht="14.25" customHeight="1">
      <c r="P933" s="105"/>
      <c r="Q933" s="105"/>
      <c r="R933" s="105"/>
    </row>
    <row r="934" ht="14.25" customHeight="1">
      <c r="P934" s="105"/>
      <c r="Q934" s="105"/>
      <c r="R934" s="105"/>
    </row>
    <row r="935" ht="14.25" customHeight="1">
      <c r="P935" s="105"/>
      <c r="Q935" s="105"/>
      <c r="R935" s="105"/>
    </row>
    <row r="936" ht="14.25" customHeight="1">
      <c r="P936" s="105"/>
      <c r="Q936" s="105"/>
      <c r="R936" s="105"/>
    </row>
    <row r="937" ht="14.25" customHeight="1">
      <c r="P937" s="105"/>
      <c r="Q937" s="105"/>
      <c r="R937" s="105"/>
    </row>
    <row r="938" ht="14.25" customHeight="1">
      <c r="P938" s="105"/>
      <c r="Q938" s="105"/>
      <c r="R938" s="105"/>
    </row>
    <row r="939" ht="14.25" customHeight="1">
      <c r="P939" s="105"/>
      <c r="Q939" s="105"/>
      <c r="R939" s="105"/>
    </row>
    <row r="940" ht="14.25" customHeight="1">
      <c r="P940" s="105"/>
      <c r="Q940" s="105"/>
      <c r="R940" s="105"/>
    </row>
    <row r="941" ht="14.25" customHeight="1">
      <c r="P941" s="105"/>
      <c r="Q941" s="105"/>
      <c r="R941" s="105"/>
    </row>
    <row r="942" ht="14.25" customHeight="1">
      <c r="P942" s="105"/>
      <c r="Q942" s="105"/>
      <c r="R942" s="105"/>
    </row>
    <row r="943" ht="14.25" customHeight="1">
      <c r="P943" s="105"/>
      <c r="Q943" s="105"/>
      <c r="R943" s="105"/>
    </row>
    <row r="944" ht="14.25" customHeight="1">
      <c r="P944" s="105"/>
      <c r="Q944" s="105"/>
      <c r="R944" s="105"/>
    </row>
    <row r="945" ht="14.25" customHeight="1">
      <c r="P945" s="105"/>
      <c r="Q945" s="105"/>
      <c r="R945" s="105"/>
    </row>
    <row r="946" ht="14.25" customHeight="1">
      <c r="P946" s="105"/>
      <c r="Q946" s="105"/>
      <c r="R946" s="105"/>
    </row>
    <row r="947" ht="14.25" customHeight="1">
      <c r="P947" s="105"/>
      <c r="Q947" s="105"/>
      <c r="R947" s="105"/>
    </row>
    <row r="948" ht="14.25" customHeight="1">
      <c r="P948" s="105"/>
      <c r="Q948" s="105"/>
      <c r="R948" s="105"/>
    </row>
    <row r="949" ht="14.25" customHeight="1">
      <c r="P949" s="105"/>
      <c r="Q949" s="105"/>
      <c r="R949" s="105"/>
    </row>
    <row r="950" ht="14.25" customHeight="1">
      <c r="P950" s="105"/>
      <c r="Q950" s="105"/>
      <c r="R950" s="105"/>
    </row>
    <row r="951" ht="14.25" customHeight="1">
      <c r="P951" s="105"/>
      <c r="Q951" s="105"/>
      <c r="R951" s="105"/>
    </row>
    <row r="952" ht="14.25" customHeight="1">
      <c r="P952" s="105"/>
      <c r="Q952" s="105"/>
      <c r="R952" s="105"/>
    </row>
    <row r="953" ht="14.25" customHeight="1">
      <c r="P953" s="105"/>
      <c r="Q953" s="105"/>
      <c r="R953" s="105"/>
    </row>
    <row r="954" ht="14.25" customHeight="1">
      <c r="P954" s="105"/>
      <c r="Q954" s="105"/>
      <c r="R954" s="105"/>
    </row>
    <row r="955" ht="14.25" customHeight="1">
      <c r="P955" s="105"/>
      <c r="Q955" s="105"/>
      <c r="R955" s="105"/>
    </row>
    <row r="956" ht="14.25" customHeight="1">
      <c r="P956" s="105"/>
      <c r="Q956" s="105"/>
      <c r="R956" s="105"/>
    </row>
    <row r="957" ht="14.25" customHeight="1">
      <c r="P957" s="105"/>
      <c r="Q957" s="105"/>
      <c r="R957" s="105"/>
    </row>
    <row r="958" ht="14.25" customHeight="1">
      <c r="P958" s="105"/>
      <c r="Q958" s="105"/>
      <c r="R958" s="105"/>
    </row>
    <row r="959" ht="14.25" customHeight="1">
      <c r="P959" s="105"/>
      <c r="Q959" s="105"/>
      <c r="R959" s="105"/>
    </row>
    <row r="960" ht="14.25" customHeight="1">
      <c r="P960" s="105"/>
      <c r="Q960" s="105"/>
      <c r="R960" s="105"/>
    </row>
    <row r="961" ht="14.25" customHeight="1">
      <c r="P961" s="105"/>
      <c r="Q961" s="105"/>
      <c r="R961" s="105"/>
    </row>
    <row r="962" ht="14.25" customHeight="1">
      <c r="P962" s="105"/>
      <c r="Q962" s="105"/>
      <c r="R962" s="105"/>
    </row>
    <row r="963" ht="14.25" customHeight="1">
      <c r="P963" s="105"/>
      <c r="Q963" s="105"/>
      <c r="R963" s="105"/>
    </row>
    <row r="964" ht="14.25" customHeight="1">
      <c r="P964" s="105"/>
      <c r="Q964" s="105"/>
      <c r="R964" s="105"/>
    </row>
    <row r="965" ht="14.25" customHeight="1">
      <c r="P965" s="105"/>
      <c r="Q965" s="105"/>
      <c r="R965" s="105"/>
    </row>
    <row r="966" ht="14.25" customHeight="1">
      <c r="P966" s="105"/>
      <c r="Q966" s="105"/>
      <c r="R966" s="105"/>
    </row>
    <row r="967" ht="14.25" customHeight="1">
      <c r="P967" s="105"/>
      <c r="Q967" s="105"/>
      <c r="R967" s="105"/>
    </row>
    <row r="968" ht="14.25" customHeight="1">
      <c r="P968" s="105"/>
      <c r="Q968" s="105"/>
      <c r="R968" s="105"/>
    </row>
    <row r="969" ht="14.25" customHeight="1">
      <c r="P969" s="105"/>
      <c r="Q969" s="105"/>
      <c r="R969" s="105"/>
    </row>
    <row r="970" ht="14.25" customHeight="1">
      <c r="P970" s="105"/>
      <c r="Q970" s="105"/>
      <c r="R970" s="105"/>
    </row>
    <row r="971" ht="14.25" customHeight="1">
      <c r="P971" s="105"/>
      <c r="Q971" s="105"/>
      <c r="R971" s="105"/>
    </row>
    <row r="972" ht="14.25" customHeight="1">
      <c r="P972" s="105"/>
      <c r="Q972" s="105"/>
      <c r="R972" s="105"/>
    </row>
    <row r="973" ht="14.25" customHeight="1">
      <c r="P973" s="105"/>
      <c r="Q973" s="105"/>
      <c r="R973" s="105"/>
    </row>
    <row r="974" ht="14.25" customHeight="1">
      <c r="P974" s="105"/>
      <c r="Q974" s="105"/>
      <c r="R974" s="105"/>
    </row>
    <row r="975" ht="14.25" customHeight="1">
      <c r="P975" s="105"/>
      <c r="Q975" s="105"/>
      <c r="R975" s="105"/>
    </row>
    <row r="976" ht="14.25" customHeight="1">
      <c r="P976" s="105"/>
      <c r="Q976" s="105"/>
      <c r="R976" s="105"/>
    </row>
    <row r="977" ht="14.25" customHeight="1">
      <c r="P977" s="105"/>
      <c r="Q977" s="105"/>
      <c r="R977" s="105"/>
    </row>
    <row r="978" ht="14.25" customHeight="1">
      <c r="P978" s="105"/>
      <c r="Q978" s="105"/>
      <c r="R978" s="105"/>
    </row>
    <row r="979" ht="14.25" customHeight="1">
      <c r="P979" s="105"/>
      <c r="Q979" s="105"/>
      <c r="R979" s="105"/>
    </row>
    <row r="980" ht="14.25" customHeight="1">
      <c r="P980" s="105"/>
      <c r="Q980" s="105"/>
      <c r="R980" s="105"/>
    </row>
    <row r="981" ht="14.25" customHeight="1">
      <c r="P981" s="105"/>
      <c r="Q981" s="105"/>
      <c r="R981" s="105"/>
    </row>
    <row r="982" ht="14.25" customHeight="1">
      <c r="P982" s="105"/>
      <c r="Q982" s="105"/>
      <c r="R982" s="105"/>
    </row>
    <row r="983" ht="14.25" customHeight="1">
      <c r="P983" s="105"/>
      <c r="Q983" s="105"/>
      <c r="R983" s="105"/>
    </row>
    <row r="984" ht="14.25" customHeight="1">
      <c r="P984" s="105"/>
      <c r="Q984" s="105"/>
      <c r="R984" s="105"/>
    </row>
    <row r="985" ht="14.25" customHeight="1">
      <c r="P985" s="105"/>
      <c r="Q985" s="105"/>
      <c r="R985" s="105"/>
    </row>
    <row r="986" ht="14.25" customHeight="1">
      <c r="P986" s="105"/>
      <c r="Q986" s="105"/>
      <c r="R986" s="105"/>
    </row>
    <row r="987" ht="14.25" customHeight="1">
      <c r="P987" s="105"/>
      <c r="Q987" s="105"/>
      <c r="R987" s="105"/>
    </row>
    <row r="988" ht="14.25" customHeight="1">
      <c r="P988" s="105"/>
      <c r="Q988" s="105"/>
      <c r="R988" s="105"/>
    </row>
    <row r="989" ht="14.25" customHeight="1">
      <c r="P989" s="105"/>
      <c r="Q989" s="105"/>
      <c r="R989" s="105"/>
    </row>
    <row r="990" ht="14.25" customHeight="1">
      <c r="P990" s="105"/>
      <c r="Q990" s="105"/>
      <c r="R990" s="105"/>
    </row>
    <row r="991" ht="14.25" customHeight="1">
      <c r="P991" s="105"/>
      <c r="Q991" s="105"/>
      <c r="R991" s="105"/>
    </row>
    <row r="992" ht="14.25" customHeight="1">
      <c r="P992" s="105"/>
      <c r="Q992" s="105"/>
      <c r="R992" s="105"/>
    </row>
    <row r="993" ht="14.25" customHeight="1">
      <c r="P993" s="105"/>
      <c r="Q993" s="105"/>
      <c r="R993" s="105"/>
    </row>
    <row r="994" ht="14.25" customHeight="1">
      <c r="P994" s="105"/>
      <c r="Q994" s="105"/>
      <c r="R994" s="105"/>
    </row>
    <row r="995" ht="14.25" customHeight="1">
      <c r="P995" s="105"/>
      <c r="Q995" s="105"/>
      <c r="R995" s="105"/>
    </row>
    <row r="996" ht="14.25" customHeight="1">
      <c r="P996" s="105"/>
      <c r="Q996" s="105"/>
      <c r="R996" s="105"/>
    </row>
    <row r="997" ht="14.25" customHeight="1">
      <c r="P997" s="105"/>
      <c r="Q997" s="105"/>
      <c r="R997" s="105"/>
    </row>
    <row r="998" ht="14.25" customHeight="1">
      <c r="P998" s="105"/>
      <c r="Q998" s="105"/>
      <c r="R998" s="105"/>
    </row>
    <row r="999" ht="14.25" customHeight="1">
      <c r="P999" s="105"/>
      <c r="Q999" s="105"/>
      <c r="R999" s="105"/>
    </row>
    <row r="1000" ht="14.25" customHeight="1">
      <c r="P1000" s="105"/>
      <c r="Q1000" s="105"/>
      <c r="R1000" s="105"/>
    </row>
    <row r="1001" ht="14.25" customHeight="1">
      <c r="P1001" s="105"/>
      <c r="Q1001" s="105"/>
      <c r="R1001" s="105"/>
    </row>
    <row r="1002" ht="14.25" customHeight="1">
      <c r="P1002" s="105"/>
      <c r="Q1002" s="105"/>
      <c r="R1002" s="105"/>
    </row>
    <row r="1003" ht="14.25" customHeight="1">
      <c r="P1003" s="105"/>
      <c r="Q1003" s="105"/>
      <c r="R1003" s="105"/>
    </row>
    <row r="1004" ht="14.25" customHeight="1">
      <c r="P1004" s="105"/>
      <c r="Q1004" s="105"/>
      <c r="R1004" s="105"/>
    </row>
    <row r="1005" ht="14.25" customHeight="1">
      <c r="P1005" s="105"/>
      <c r="Q1005" s="105"/>
      <c r="R1005" s="105"/>
    </row>
    <row r="1006" ht="14.25" customHeight="1">
      <c r="P1006" s="105"/>
      <c r="Q1006" s="105"/>
      <c r="R1006" s="105"/>
    </row>
    <row r="1007" ht="14.25" customHeight="1">
      <c r="P1007" s="105"/>
      <c r="Q1007" s="105"/>
      <c r="R1007" s="105"/>
    </row>
    <row r="1008" ht="14.25" customHeight="1">
      <c r="P1008" s="105"/>
      <c r="Q1008" s="105"/>
      <c r="R1008" s="105"/>
    </row>
    <row r="1009" ht="14.25" customHeight="1">
      <c r="P1009" s="105"/>
      <c r="Q1009" s="105"/>
      <c r="R1009" s="105"/>
    </row>
    <row r="1010" ht="14.25" customHeight="1">
      <c r="P1010" s="105"/>
      <c r="Q1010" s="105"/>
      <c r="R1010" s="105"/>
    </row>
    <row r="1011" ht="14.25" customHeight="1">
      <c r="P1011" s="105"/>
      <c r="Q1011" s="105"/>
      <c r="R1011" s="105"/>
    </row>
    <row r="1012" ht="14.25" customHeight="1">
      <c r="P1012" s="105"/>
      <c r="Q1012" s="105"/>
      <c r="R1012" s="105"/>
    </row>
    <row r="1013" ht="14.25" customHeight="1">
      <c r="P1013" s="105"/>
      <c r="Q1013" s="105"/>
      <c r="R1013" s="105"/>
    </row>
    <row r="1014" ht="14.25" customHeight="1">
      <c r="P1014" s="105"/>
      <c r="Q1014" s="105"/>
      <c r="R1014" s="105"/>
    </row>
    <row r="1015" ht="14.25" customHeight="1">
      <c r="P1015" s="105"/>
      <c r="Q1015" s="105"/>
      <c r="R1015" s="105"/>
    </row>
    <row r="1016" ht="14.25" customHeight="1">
      <c r="P1016" s="105"/>
      <c r="Q1016" s="105"/>
      <c r="R1016" s="105"/>
    </row>
    <row r="1017" ht="14.25" customHeight="1">
      <c r="P1017" s="105"/>
      <c r="Q1017" s="105"/>
      <c r="R1017" s="105"/>
    </row>
    <row r="1018" ht="14.25" customHeight="1">
      <c r="P1018" s="105"/>
      <c r="Q1018" s="105"/>
      <c r="R1018" s="105"/>
    </row>
    <row r="1019" ht="14.25" customHeight="1">
      <c r="P1019" s="105"/>
      <c r="Q1019" s="105"/>
      <c r="R1019" s="105"/>
    </row>
    <row r="1020" ht="14.25" customHeight="1">
      <c r="P1020" s="105"/>
      <c r="Q1020" s="105"/>
      <c r="R1020" s="105"/>
    </row>
    <row r="1021" ht="14.25" customHeight="1">
      <c r="P1021" s="105"/>
      <c r="Q1021" s="105"/>
      <c r="R1021" s="105"/>
    </row>
    <row r="1022" ht="14.25" customHeight="1">
      <c r="P1022" s="105"/>
      <c r="Q1022" s="105"/>
      <c r="R1022" s="105"/>
    </row>
    <row r="1023" ht="14.25" customHeight="1">
      <c r="P1023" s="105"/>
      <c r="Q1023" s="105"/>
      <c r="R1023" s="105"/>
    </row>
    <row r="1024" ht="14.25" customHeight="1">
      <c r="P1024" s="105"/>
      <c r="Q1024" s="105"/>
      <c r="R1024" s="105"/>
    </row>
    <row r="1025" ht="14.25" customHeight="1">
      <c r="P1025" s="105"/>
      <c r="Q1025" s="105"/>
      <c r="R1025" s="105"/>
    </row>
    <row r="1026" ht="14.25" customHeight="1">
      <c r="P1026" s="105"/>
      <c r="Q1026" s="105"/>
      <c r="R1026" s="105"/>
    </row>
    <row r="1027" ht="14.25" customHeight="1">
      <c r="P1027" s="105"/>
      <c r="Q1027" s="105"/>
      <c r="R1027" s="105"/>
    </row>
    <row r="1028" ht="14.25" customHeight="1">
      <c r="P1028" s="105"/>
      <c r="Q1028" s="105"/>
      <c r="R1028" s="105"/>
    </row>
    <row r="1029" ht="14.25" customHeight="1">
      <c r="P1029" s="105"/>
      <c r="Q1029" s="105"/>
      <c r="R1029" s="105"/>
    </row>
    <row r="1030" ht="14.25" customHeight="1">
      <c r="P1030" s="105"/>
      <c r="Q1030" s="105"/>
      <c r="R1030" s="105"/>
    </row>
    <row r="1031" ht="14.25" customHeight="1">
      <c r="P1031" s="105"/>
      <c r="Q1031" s="105"/>
      <c r="R1031" s="105"/>
    </row>
    <row r="1032" ht="14.25" customHeight="1">
      <c r="P1032" s="105"/>
      <c r="Q1032" s="105"/>
      <c r="R1032" s="105"/>
    </row>
    <row r="1033" ht="14.25" customHeight="1">
      <c r="P1033" s="105"/>
      <c r="Q1033" s="105"/>
      <c r="R1033" s="105"/>
    </row>
  </sheetData>
  <dataValidations>
    <dataValidation type="list" allowBlank="1" showErrorMessage="1" sqref="C26:C163">
      <formula1>$Q$5:$Q$13</formula1>
    </dataValidation>
    <dataValidation type="list" allowBlank="1" showErrorMessage="1" sqref="B26:B163">
      <formula1>$P$5:$P$9</formula1>
    </dataValidation>
    <dataValidation type="list" allowBlank="1" showErrorMessage="1" sqref="A26:A156 A163">
      <formula1>$O$5:$O$20</formula1>
    </dataValidation>
    <dataValidation type="list" allowBlank="1" showErrorMessage="1" sqref="D26:D163">
      <formula1>$R$5:$R$9</formula1>
    </dataValidation>
  </dataValidations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7.71"/>
  </cols>
  <sheetData>
    <row r="1">
      <c r="A1" s="175" t="s">
        <v>68</v>
      </c>
    </row>
    <row r="2">
      <c r="A2" s="8" t="s">
        <v>697</v>
      </c>
    </row>
    <row r="3">
      <c r="A3" s="176" t="s">
        <v>698</v>
      </c>
    </row>
    <row r="4">
      <c r="A4" s="8"/>
    </row>
    <row r="5">
      <c r="A5" s="8" t="s">
        <v>699</v>
      </c>
      <c r="B5" s="177">
        <f>'Costos Fijos'!B12</f>
        <v>1914900</v>
      </c>
    </row>
    <row r="6">
      <c r="A6" s="8" t="s">
        <v>700</v>
      </c>
    </row>
    <row r="7">
      <c r="A7" s="8" t="s">
        <v>701</v>
      </c>
    </row>
    <row r="8">
      <c r="A8" s="8" t="s">
        <v>702</v>
      </c>
    </row>
    <row r="9">
      <c r="A9" s="8"/>
    </row>
    <row r="10">
      <c r="A10" s="17" t="s">
        <v>703</v>
      </c>
    </row>
    <row r="11">
      <c r="A11" s="8"/>
    </row>
    <row r="12">
      <c r="A12" s="8" t="s">
        <v>704</v>
      </c>
    </row>
    <row r="13">
      <c r="A13" s="8" t="s">
        <v>705</v>
      </c>
    </row>
    <row r="14">
      <c r="A14" s="8" t="s">
        <v>706</v>
      </c>
    </row>
    <row r="17">
      <c r="A17" s="50" t="s">
        <v>707</v>
      </c>
      <c r="B17" s="8"/>
      <c r="C17" s="8"/>
      <c r="D17" s="8"/>
      <c r="E17" s="8"/>
      <c r="F17" s="8"/>
      <c r="G17" s="8"/>
      <c r="H17" s="8"/>
    </row>
    <row r="18">
      <c r="A18" s="8"/>
      <c r="B18" s="8"/>
      <c r="C18" s="8"/>
      <c r="D18" s="8"/>
      <c r="E18" s="8"/>
      <c r="F18" s="8"/>
      <c r="G18" s="8"/>
      <c r="H18" s="8"/>
    </row>
    <row r="19">
      <c r="A19" s="8" t="s">
        <v>708</v>
      </c>
      <c r="B19" s="178" t="str">
        <f>+'Punto Equilibrio'!B29+2</f>
        <v>#REF!</v>
      </c>
      <c r="C19" s="8" t="s">
        <v>709</v>
      </c>
      <c r="D19" s="8"/>
      <c r="E19" s="8"/>
      <c r="F19" s="8"/>
      <c r="G19" s="8"/>
      <c r="H19" s="8"/>
    </row>
    <row r="20">
      <c r="A20" s="8"/>
      <c r="B20" s="8"/>
      <c r="C20" s="8"/>
      <c r="D20" s="8"/>
      <c r="E20" s="8"/>
      <c r="F20" s="8"/>
      <c r="G20" s="8"/>
      <c r="H20" s="8"/>
    </row>
    <row r="21">
      <c r="A21" s="179"/>
      <c r="B21" s="180">
        <v>46067.0</v>
      </c>
      <c r="C21" s="181">
        <v>46082.0</v>
      </c>
      <c r="D21" s="181">
        <v>46113.0</v>
      </c>
      <c r="E21" s="181">
        <v>46143.0</v>
      </c>
      <c r="F21" s="181">
        <v>46174.0</v>
      </c>
      <c r="G21" s="180">
        <v>46204.0</v>
      </c>
      <c r="H21" s="6" t="s">
        <v>81</v>
      </c>
    </row>
    <row r="22">
      <c r="A22" s="8" t="s">
        <v>710</v>
      </c>
      <c r="B22" s="182">
        <v>12.0</v>
      </c>
      <c r="C22" s="22">
        <v>26.0</v>
      </c>
      <c r="D22" s="22">
        <v>26.0</v>
      </c>
      <c r="E22" s="22">
        <v>26.0</v>
      </c>
      <c r="F22" s="22">
        <v>26.0</v>
      </c>
      <c r="G22" s="22">
        <v>26.0</v>
      </c>
      <c r="H22" s="183">
        <f t="shared" ref="H22:H23" si="2">SUM(B22:G22)</f>
        <v>142</v>
      </c>
    </row>
    <row r="23">
      <c r="A23" s="8" t="s">
        <v>711</v>
      </c>
      <c r="B23" s="184" t="str">
        <f t="shared" ref="B23:G23" si="1">$B$19*B22</f>
        <v>#REF!</v>
      </c>
      <c r="C23" s="184" t="str">
        <f t="shared" si="1"/>
        <v>#REF!</v>
      </c>
      <c r="D23" s="184" t="str">
        <f t="shared" si="1"/>
        <v>#REF!</v>
      </c>
      <c r="E23" s="184" t="str">
        <f t="shared" si="1"/>
        <v>#REF!</v>
      </c>
      <c r="F23" s="184" t="str">
        <f t="shared" si="1"/>
        <v>#REF!</v>
      </c>
      <c r="G23" s="184" t="str">
        <f t="shared" si="1"/>
        <v>#REF!</v>
      </c>
      <c r="H23" s="20" t="str">
        <f t="shared" si="2"/>
        <v>#REF!</v>
      </c>
    </row>
    <row r="24">
      <c r="A24" s="8"/>
      <c r="B24" s="8"/>
      <c r="C24" s="8"/>
      <c r="D24" s="8"/>
      <c r="E24" s="8"/>
      <c r="F24" s="8"/>
      <c r="G24" s="8"/>
      <c r="H24" s="8"/>
    </row>
    <row r="25">
      <c r="A25" s="17" t="s">
        <v>712</v>
      </c>
      <c r="B25" s="185"/>
      <c r="C25" s="185"/>
      <c r="D25" s="185"/>
      <c r="E25" s="185"/>
      <c r="F25" s="185"/>
      <c r="G25" s="185"/>
      <c r="H25" s="185"/>
    </row>
    <row r="26">
      <c r="A26" s="8" t="s">
        <v>713</v>
      </c>
      <c r="B26" s="186" t="str">
        <f t="shared" ref="B26:G26" si="3">B23*'Margen Producto'!$C$27</f>
        <v>#REF!</v>
      </c>
      <c r="C26" s="186" t="str">
        <f t="shared" si="3"/>
        <v>#REF!</v>
      </c>
      <c r="D26" s="186" t="str">
        <f t="shared" si="3"/>
        <v>#REF!</v>
      </c>
      <c r="E26" s="186" t="str">
        <f t="shared" si="3"/>
        <v>#REF!</v>
      </c>
      <c r="F26" s="186" t="str">
        <f t="shared" si="3"/>
        <v>#REF!</v>
      </c>
      <c r="G26" s="186" t="str">
        <f t="shared" si="3"/>
        <v>#REF!</v>
      </c>
      <c r="H26" s="187" t="str">
        <f>SUM(B26:G26)</f>
        <v>#REF!</v>
      </c>
    </row>
    <row r="27">
      <c r="A27" s="8"/>
      <c r="B27" s="8"/>
      <c r="C27" s="8"/>
      <c r="D27" s="8"/>
      <c r="E27" s="8"/>
      <c r="F27" s="8"/>
      <c r="G27" s="8"/>
      <c r="H27" s="8"/>
    </row>
    <row r="28">
      <c r="A28" s="17" t="s">
        <v>714</v>
      </c>
      <c r="B28" s="185"/>
      <c r="C28" s="185"/>
      <c r="D28" s="185"/>
      <c r="E28" s="185"/>
      <c r="F28" s="185"/>
      <c r="G28" s="185"/>
      <c r="H28" s="185"/>
    </row>
    <row r="29">
      <c r="A29" s="8" t="s">
        <v>715</v>
      </c>
      <c r="B29" s="186" t="str">
        <f t="shared" ref="B29:G29" si="4">B23*'Margen Producto'!$B$27</f>
        <v>#REF!</v>
      </c>
      <c r="C29" s="186" t="str">
        <f t="shared" si="4"/>
        <v>#REF!</v>
      </c>
      <c r="D29" s="186" t="str">
        <f t="shared" si="4"/>
        <v>#REF!</v>
      </c>
      <c r="E29" s="186" t="str">
        <f t="shared" si="4"/>
        <v>#REF!</v>
      </c>
      <c r="F29" s="186" t="str">
        <f t="shared" si="4"/>
        <v>#REF!</v>
      </c>
      <c r="G29" s="186" t="str">
        <f t="shared" si="4"/>
        <v>#REF!</v>
      </c>
      <c r="H29" s="187" t="str">
        <f t="shared" ref="H29:H33" si="6">SUM(B29:G29)</f>
        <v>#REF!</v>
      </c>
    </row>
    <row r="30">
      <c r="A30" s="188" t="s">
        <v>716</v>
      </c>
      <c r="B30" s="186" t="str">
        <f t="shared" ref="B30:G30" si="5">B29*8%</f>
        <v>#REF!</v>
      </c>
      <c r="C30" s="186" t="str">
        <f t="shared" si="5"/>
        <v>#REF!</v>
      </c>
      <c r="D30" s="186" t="str">
        <f t="shared" si="5"/>
        <v>#REF!</v>
      </c>
      <c r="E30" s="186" t="str">
        <f t="shared" si="5"/>
        <v>#REF!</v>
      </c>
      <c r="F30" s="186" t="str">
        <f t="shared" si="5"/>
        <v>#REF!</v>
      </c>
      <c r="G30" s="186" t="str">
        <f t="shared" si="5"/>
        <v>#REF!</v>
      </c>
      <c r="H30" s="187" t="str">
        <f t="shared" si="6"/>
        <v>#REF!</v>
      </c>
    </row>
    <row r="31">
      <c r="A31" s="188" t="s">
        <v>717</v>
      </c>
      <c r="B31" s="186">
        <f>'Costos Fijos'!$B$13*B22/30</f>
        <v>0</v>
      </c>
      <c r="C31" s="186" t="str">
        <f>'Costos Fijos'!$B$13</f>
        <v/>
      </c>
      <c r="D31" s="186" t="str">
        <f>'Costos Fijos'!$B$13</f>
        <v/>
      </c>
      <c r="E31" s="186" t="str">
        <f>'Costos Fijos'!$B$13</f>
        <v/>
      </c>
      <c r="F31" s="186" t="str">
        <f>'Costos Fijos'!$B$13</f>
        <v/>
      </c>
      <c r="G31" s="186" t="str">
        <f>'Costos Fijos'!$B$13</f>
        <v/>
      </c>
      <c r="H31" s="187">
        <f t="shared" si="6"/>
        <v>0</v>
      </c>
    </row>
    <row r="32">
      <c r="A32" s="8" t="s">
        <v>718</v>
      </c>
      <c r="B32" s="186" t="str">
        <f>+'Inversión Inicial'!B27-'Inversión Inicial'!B21</f>
        <v>#REF!</v>
      </c>
      <c r="C32" s="185"/>
      <c r="D32" s="185"/>
      <c r="E32" s="185"/>
      <c r="F32" s="185"/>
      <c r="G32" s="185"/>
      <c r="H32" s="187" t="str">
        <f t="shared" si="6"/>
        <v>#REF!</v>
      </c>
    </row>
    <row r="33">
      <c r="A33" s="8" t="s">
        <v>719</v>
      </c>
      <c r="B33" s="186" t="str">
        <f t="shared" ref="B33:G33" si="7">B29+B31+B32+B30</f>
        <v>#REF!</v>
      </c>
      <c r="C33" s="186" t="str">
        <f t="shared" si="7"/>
        <v>#REF!</v>
      </c>
      <c r="D33" s="186" t="str">
        <f t="shared" si="7"/>
        <v>#REF!</v>
      </c>
      <c r="E33" s="186" t="str">
        <f t="shared" si="7"/>
        <v>#REF!</v>
      </c>
      <c r="F33" s="186" t="str">
        <f t="shared" si="7"/>
        <v>#REF!</v>
      </c>
      <c r="G33" s="186" t="str">
        <f t="shared" si="7"/>
        <v>#REF!</v>
      </c>
      <c r="H33" s="187" t="str">
        <f t="shared" si="6"/>
        <v>#REF!</v>
      </c>
    </row>
    <row r="34">
      <c r="A34" s="8"/>
      <c r="B34" s="8"/>
      <c r="C34" s="8"/>
      <c r="D34" s="8"/>
      <c r="E34" s="8"/>
      <c r="F34" s="8"/>
      <c r="G34" s="8"/>
      <c r="H34" s="8"/>
    </row>
    <row r="35">
      <c r="A35" s="17" t="s">
        <v>720</v>
      </c>
      <c r="B35" s="185"/>
      <c r="C35" s="185"/>
      <c r="D35" s="185"/>
      <c r="E35" s="185"/>
      <c r="F35" s="185"/>
      <c r="G35" s="185"/>
      <c r="H35" s="185"/>
    </row>
    <row r="36">
      <c r="A36" s="8" t="s">
        <v>721</v>
      </c>
      <c r="B36" s="189" t="str">
        <f t="shared" ref="B36:G36" si="8">B26-B33</f>
        <v>#REF!</v>
      </c>
      <c r="C36" s="189" t="str">
        <f t="shared" si="8"/>
        <v>#REF!</v>
      </c>
      <c r="D36" s="189" t="str">
        <f t="shared" si="8"/>
        <v>#REF!</v>
      </c>
      <c r="E36" s="189" t="str">
        <f t="shared" si="8"/>
        <v>#REF!</v>
      </c>
      <c r="F36" s="189" t="str">
        <f t="shared" si="8"/>
        <v>#REF!</v>
      </c>
      <c r="G36" s="189" t="str">
        <f t="shared" si="8"/>
        <v>#REF!</v>
      </c>
      <c r="H36" s="189" t="str">
        <f>SUM(B36:G36)</f>
        <v>#REF!</v>
      </c>
    </row>
    <row r="37">
      <c r="A37" s="8" t="s">
        <v>722</v>
      </c>
      <c r="B37" s="189" t="str">
        <f t="shared" ref="B37:H37" si="9">B36/3</f>
        <v>#REF!</v>
      </c>
      <c r="C37" s="189" t="str">
        <f t="shared" si="9"/>
        <v>#REF!</v>
      </c>
      <c r="D37" s="189" t="str">
        <f t="shared" si="9"/>
        <v>#REF!</v>
      </c>
      <c r="E37" s="189" t="str">
        <f t="shared" si="9"/>
        <v>#REF!</v>
      </c>
      <c r="F37" s="189" t="str">
        <f t="shared" si="9"/>
        <v>#REF!</v>
      </c>
      <c r="G37" s="189" t="str">
        <f t="shared" si="9"/>
        <v>#REF!</v>
      </c>
      <c r="H37" s="189" t="str">
        <f t="shared" si="9"/>
        <v>#REF!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2025-12-03T17:22:15Z</dcterms:created>
  <dc:creator>openpyxl</dc:creator>
</cp:coreProperties>
</file>